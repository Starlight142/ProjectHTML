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cuments\ProjectHtml\"/>
    </mc:Choice>
  </mc:AlternateContent>
  <xr:revisionPtr revIDLastSave="0" documentId="13_ncr:1_{1C9AD8B3-6959-4838-B1F7-AA431B708FE0}" xr6:coauthVersionLast="36" xr6:coauthVersionMax="47" xr10:uidLastSave="{00000000-0000-0000-0000-000000000000}"/>
  <bookViews>
    <workbookView xWindow="0" yWindow="0" windowWidth="28800" windowHeight="12105" xr2:uid="{6AD1126B-D0E0-4BBD-A4B9-47C8741E4E7B}"/>
  </bookViews>
  <sheets>
    <sheet name="Sales_Data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9" i="2" l="1"/>
  <c r="B145" i="2"/>
  <c r="I130" i="2"/>
  <c r="I131" i="2"/>
  <c r="I132" i="2"/>
  <c r="I133" i="2"/>
  <c r="I134" i="2"/>
  <c r="I129" i="2"/>
  <c r="B129" i="2"/>
  <c r="B130" i="2"/>
  <c r="B131" i="2"/>
  <c r="B132" i="2"/>
  <c r="B133" i="2"/>
  <c r="B134" i="2"/>
  <c r="N2" i="2"/>
  <c r="L3" i="2"/>
  <c r="M3" i="2" s="1"/>
  <c r="L2" i="2"/>
  <c r="M2" i="2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M6" i="2"/>
  <c r="M7" i="2"/>
  <c r="M8" i="2"/>
  <c r="M9" i="2"/>
  <c r="M37" i="2"/>
  <c r="M40" i="2"/>
  <c r="M69" i="2"/>
  <c r="M71" i="2"/>
  <c r="M85" i="2"/>
  <c r="M86" i="2"/>
  <c r="M88" i="2"/>
  <c r="M101" i="2"/>
  <c r="M117" i="2"/>
  <c r="L4" i="2"/>
  <c r="M4" i="2" s="1"/>
  <c r="L5" i="2"/>
  <c r="M5" i="2" s="1"/>
  <c r="L6" i="2"/>
  <c r="L7" i="2"/>
  <c r="L8" i="2"/>
  <c r="L9" i="2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L38" i="2"/>
  <c r="M38" i="2" s="1"/>
  <c r="L39" i="2"/>
  <c r="M39" i="2" s="1"/>
  <c r="L40" i="2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L70" i="2"/>
  <c r="M70" i="2" s="1"/>
  <c r="L71" i="2"/>
  <c r="L72" i="2"/>
  <c r="M72" i="2" s="1"/>
  <c r="L73" i="2"/>
  <c r="M73" i="2" s="1"/>
  <c r="L74" i="2"/>
  <c r="M74" i="2" s="1"/>
  <c r="L75" i="2"/>
  <c r="M75" i="2" s="1"/>
  <c r="L76" i="2"/>
  <c r="M76" i="2" s="1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L86" i="2"/>
  <c r="L87" i="2"/>
  <c r="M87" i="2" s="1"/>
  <c r="L88" i="2"/>
  <c r="L89" i="2"/>
  <c r="M89" i="2" s="1"/>
  <c r="L90" i="2"/>
  <c r="M90" i="2" s="1"/>
  <c r="L91" i="2"/>
  <c r="M91" i="2" s="1"/>
  <c r="L92" i="2"/>
  <c r="M92" i="2" s="1"/>
  <c r="L93" i="2"/>
  <c r="M93" i="2" s="1"/>
  <c r="L94" i="2"/>
  <c r="M94" i="2" s="1"/>
  <c r="L95" i="2"/>
  <c r="M95" i="2" s="1"/>
  <c r="L96" i="2"/>
  <c r="M96" i="2" s="1"/>
  <c r="L97" i="2"/>
  <c r="M97" i="2" s="1"/>
  <c r="L98" i="2"/>
  <c r="M98" i="2" s="1"/>
  <c r="L99" i="2"/>
  <c r="M99" i="2" s="1"/>
  <c r="L100" i="2"/>
  <c r="M100" i="2" s="1"/>
  <c r="L101" i="2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 s="1"/>
  <c r="L111" i="2"/>
  <c r="M111" i="2" s="1"/>
  <c r="L112" i="2"/>
  <c r="M112" i="2" s="1"/>
  <c r="L113" i="2"/>
  <c r="M113" i="2" s="1"/>
  <c r="L114" i="2"/>
  <c r="M114" i="2" s="1"/>
  <c r="L115" i="2"/>
  <c r="M115" i="2" s="1"/>
  <c r="L116" i="2"/>
  <c r="M116" i="2" s="1"/>
  <c r="L117" i="2"/>
  <c r="L118" i="2"/>
  <c r="M118" i="2" s="1"/>
  <c r="L119" i="2"/>
  <c r="M119" i="2" s="1"/>
  <c r="L120" i="2"/>
  <c r="M120" i="2" s="1"/>
  <c r="G123" i="2"/>
  <c r="H123" i="2"/>
  <c r="I123" i="2"/>
  <c r="J123" i="2"/>
  <c r="G124" i="2"/>
  <c r="H124" i="2"/>
  <c r="I124" i="2"/>
  <c r="J124" i="2"/>
  <c r="G125" i="2"/>
  <c r="H125" i="2"/>
  <c r="I125" i="2"/>
  <c r="J125" i="2"/>
  <c r="G122" i="2"/>
  <c r="H122" i="2"/>
  <c r="I122" i="2"/>
  <c r="J122" i="2"/>
  <c r="F125" i="2"/>
  <c r="F124" i="2"/>
  <c r="F123" i="2"/>
  <c r="F122" i="2"/>
  <c r="B135" i="2" l="1"/>
  <c r="I135" i="2"/>
  <c r="B151" i="2"/>
  <c r="B152" i="2"/>
  <c r="B148" i="2"/>
  <c r="B150" i="2"/>
  <c r="B147" i="2"/>
</calcChain>
</file>

<file path=xl/sharedStrings.xml><?xml version="1.0" encoding="utf-8"?>
<sst xmlns="http://schemas.openxmlformats.org/spreadsheetml/2006/main" count="398" uniqueCount="40">
  <si>
    <t>วันที่</t>
  </si>
  <si>
    <t>ภูมิภาค</t>
  </si>
  <si>
    <t>พนักงานขาย</t>
  </si>
  <si>
    <t>สินค้า</t>
  </si>
  <si>
    <t>จำนวน(ชิ้น)</t>
  </si>
  <si>
    <t>ราคาต่อหน่วย</t>
  </si>
  <si>
    <t>ส่วนลด(%)</t>
  </si>
  <si>
    <t>ค่าส่ง</t>
  </si>
  <si>
    <t>ภาษี(%)</t>
  </si>
  <si>
    <t>เครดิต(วัน)</t>
  </si>
  <si>
    <t>ใต้</t>
  </si>
  <si>
    <t>A02</t>
  </si>
  <si>
    <t>P100</t>
  </si>
  <si>
    <t>P300</t>
  </si>
  <si>
    <t>อีสาน</t>
  </si>
  <si>
    <t>C01</t>
  </si>
  <si>
    <t>P120</t>
  </si>
  <si>
    <t>ตะวันออก</t>
  </si>
  <si>
    <t>B02</t>
  </si>
  <si>
    <t>P200</t>
  </si>
  <si>
    <t>เหนือ</t>
  </si>
  <si>
    <t>P400</t>
  </si>
  <si>
    <t>B01</t>
  </si>
  <si>
    <t>P250</t>
  </si>
  <si>
    <t>กลาง</t>
  </si>
  <si>
    <t>A04</t>
  </si>
  <si>
    <t>P350</t>
  </si>
  <si>
    <t>C02</t>
  </si>
  <si>
    <t>ตะวันตก</t>
  </si>
  <si>
    <t>A03</t>
  </si>
  <si>
    <t>A01</t>
  </si>
  <si>
    <t>MIN</t>
  </si>
  <si>
    <t>MAX</t>
  </si>
  <si>
    <t>AVG</t>
  </si>
  <si>
    <t>SUM</t>
  </si>
  <si>
    <t>จำนวนรวมราคาต่อหนวยของสินค้า</t>
  </si>
  <si>
    <t>สั่งชื่อ/ไม่สั่งซื้อ</t>
  </si>
  <si>
    <t>บาทไทย</t>
  </si>
  <si>
    <t>จำนวนของสินค้าในแต่ละภูมิภาค</t>
  </si>
  <si>
    <t>นับจำนวนแถวของภูมิภาค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</si>
</sst>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2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64" fontId="0" fillId="0" borderId="8" xfId="0" applyNumberFormat="1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4" fontId="0" fillId="0" borderId="9" xfId="0" applyNumberFormat="1" applyBorder="1" applyAlignment="1">
      <alignment horizontal="right" vertical="center"/>
    </xf>
    <xf numFmtId="2" fontId="0" fillId="0" borderId="9" xfId="0" applyNumberFormat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11" xfId="0" applyBorder="1"/>
    <xf numFmtId="2" fontId="0" fillId="0" borderId="11" xfId="0" applyNumberFormat="1" applyBorder="1"/>
    <xf numFmtId="0" fontId="0" fillId="3" borderId="11" xfId="0" applyFill="1" applyBorder="1"/>
    <xf numFmtId="2" fontId="0" fillId="3" borderId="11" xfId="0" applyNumberFormat="1" applyFill="1" applyBorder="1"/>
    <xf numFmtId="0" fontId="0" fillId="4" borderId="11" xfId="0" applyFill="1" applyBorder="1"/>
    <xf numFmtId="0" fontId="0" fillId="0" borderId="0" xfId="0" applyBorder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0C0C0"/>
        </left>
        <right style="thin">
          <color rgb="FFC0C0C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0C0C0"/>
        </left>
        <right style="thin">
          <color rgb="FFC0C0C0"/>
        </right>
        <top/>
        <bottom/>
      </border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/>
        <top style="thin">
          <color rgb="FFC0C0C0"/>
        </top>
        <bottom style="thin">
          <color rgb="FFC0C0C0"/>
        </bottom>
        <vertical/>
        <horizontal/>
      </border>
    </dxf>
    <dxf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numFmt numFmtId="164" formatCode="yyyy\-mm\-dd"/>
      <alignment horizontal="right" vertical="center" textRotation="0" wrapText="0" indent="0" justifyLastLine="0" shrinkToFit="0" readingOrder="0"/>
      <border diagonalUp="0" diagonalDown="0">
        <left/>
        <right style="thin">
          <color rgb="FFC0C0C0"/>
        </right>
        <top style="thin">
          <color rgb="FFC0C0C0"/>
        </top>
        <bottom style="thin">
          <color rgb="FFC0C0C0"/>
        </bottom>
        <vertical/>
        <horizontal/>
      </border>
    </dxf>
    <dxf>
      <border outline="0">
        <top style="thin">
          <color rgb="FFC0C0C0"/>
        </top>
      </border>
    </dxf>
    <dxf>
      <border outline="0">
        <bottom style="thin">
          <color rgb="FFC0C0C0"/>
        </bottom>
      </border>
    </dxf>
    <dxf>
      <border outline="0"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Sales_Data!$B$128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Sales_Data!$A$129:$A$134</c:f>
              <c:strCache>
                <c:ptCount val="6"/>
                <c:pt idx="0">
                  <c:v>ใต้</c:v>
                </c:pt>
                <c:pt idx="1">
                  <c:v>อีสาน</c:v>
                </c:pt>
                <c:pt idx="2">
                  <c:v>ตะวันออก</c:v>
                </c:pt>
                <c:pt idx="3">
                  <c:v>กลาง</c:v>
                </c:pt>
                <c:pt idx="4">
                  <c:v>เหนือ</c:v>
                </c:pt>
                <c:pt idx="5">
                  <c:v>ตะวันตก</c:v>
                </c:pt>
              </c:strCache>
            </c:strRef>
          </c:cat>
          <c:val>
            <c:numRef>
              <c:f>Sales_Data!$B$129:$B$134</c:f>
              <c:numCache>
                <c:formatCode>0.00</c:formatCode>
                <c:ptCount val="6"/>
                <c:pt idx="0">
                  <c:v>2987</c:v>
                </c:pt>
                <c:pt idx="1">
                  <c:v>2628</c:v>
                </c:pt>
                <c:pt idx="2">
                  <c:v>2068</c:v>
                </c:pt>
                <c:pt idx="3">
                  <c:v>2210</c:v>
                </c:pt>
                <c:pt idx="4">
                  <c:v>3279</c:v>
                </c:pt>
                <c:pt idx="5">
                  <c:v>2407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4-447A-993A-08C096286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2372976"/>
        <c:axId val="338756624"/>
        <c:axId val="0"/>
      </c:bar3DChart>
      <c:catAx>
        <c:axId val="45237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756624"/>
        <c:crosses val="autoZero"/>
        <c:auto val="1"/>
        <c:lblAlgn val="ctr"/>
        <c:lblOffset val="100"/>
        <c:noMultiLvlLbl val="0"/>
      </c:catAx>
      <c:valAx>
        <c:axId val="33875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7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127</xdr:row>
      <xdr:rowOff>38099</xdr:rowOff>
    </xdr:from>
    <xdr:to>
      <xdr:col>6</xdr:col>
      <xdr:colOff>661987</xdr:colOff>
      <xdr:row>140</xdr:row>
      <xdr:rowOff>161918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B6DF5F-8B3C-4BA3-A560-BD5B8C670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894452-A2E8-4311-B2AB-93CA62EF16ED}" name="Table2" displayName="Table2" ref="A1:J121" totalsRowShown="0" headerRowDxfId="2" dataDxfId="3" headerRowBorderDxfId="15" tableBorderDxfId="16" totalsRowBorderDxfId="14">
  <autoFilter ref="A1:J121" xr:uid="{C9A98F2D-3365-4A80-BF97-90CCCACD5660}"/>
  <tableColumns count="10">
    <tableColumn id="1" xr3:uid="{ABD5CEEA-82A5-49C5-8A47-4526CA8A4295}" name="วันที่" dataDxfId="13"/>
    <tableColumn id="2" xr3:uid="{353EF3D0-E3F7-4D31-B382-F2A1FFE360CD}" name="ภูมิภาค" dataDxfId="12"/>
    <tableColumn id="3" xr3:uid="{873DD2ED-4CA9-4BB8-AEC6-2292A4683C4F}" name="พนักงานขาย" dataDxfId="11"/>
    <tableColumn id="4" xr3:uid="{35748E2C-2592-4418-B34F-9E1D0952EB87}" name="สินค้า" dataDxfId="10"/>
    <tableColumn id="5" xr3:uid="{B481504A-F28D-480A-BFB9-E85B8A5EE0D4}" name="จำนวน(ชิ้น)" dataDxfId="9"/>
    <tableColumn id="6" xr3:uid="{08514902-6B79-472A-8E5A-D0F7A2261B8D}" name="ราคาต่อหน่วย" dataDxfId="8"/>
    <tableColumn id="7" xr3:uid="{8DB6429A-4182-4698-8492-91F62E74A0A6}" name="ส่วนลด(%)" dataDxfId="7"/>
    <tableColumn id="8" xr3:uid="{9EDFC7C8-1809-4166-B0EE-D7359C6B729E}" name="ค่าส่ง" dataDxfId="6"/>
    <tableColumn id="9" xr3:uid="{9C5C8C8E-7810-4A24-8BC0-CBC8ADA561BC}" name="ภาษี(%)" dataDxfId="5"/>
    <tableColumn id="10" xr3:uid="{B3D440E5-7CEF-4790-94A4-192CF741146E}" name="เครดิต(วัน)" dataDxfId="4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5CB7E7-E2AB-4173-8B0C-DC477AF52ED9}" name="Table3" displayName="Table3" ref="L1:N120" totalsRowShown="0" headerRowDxfId="1">
  <autoFilter ref="L1:N120" xr:uid="{FAF55A06-2835-4130-9E3E-6F24002562B0}"/>
  <tableColumns count="3">
    <tableColumn id="1" xr3:uid="{4985C7C4-725B-44FE-B306-5AA8DF73D2E9}" name="จำนวนรวมราคาต่อหนวยของสินค้า">
      <calculatedColumnFormula>Table2[[#This Row],[จำนวน(ชิ้น)]]*Table2[[#This Row],[ราคาต่อหน่วย]]</calculatedColumnFormula>
    </tableColumn>
    <tableColumn id="2" xr3:uid="{64F097BE-AE09-4DEC-8FED-AA1D1B67D33B}" name="บาทไทย">
      <calculatedColumnFormula>BAHTTEXT(L2)</calculatedColumnFormula>
    </tableColumn>
    <tableColumn id="3" xr3:uid="{C5A23FBD-9E22-4EE7-BCF2-1FE6EB636FE4}" name="สั่งชื่อ/ไม่สั่งซื้อ">
      <calculatedColumnFormula>IF(Table2[จำนวน(ชิ้น)] &lt;= 100,"สั่งซื้อ","ไม่ซื้อ")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4873F-DB94-46F6-92B5-5D4E1CA0A6D1}">
  <dimension ref="A1:N152"/>
  <sheetViews>
    <sheetView tabSelected="1" zoomScaleNormal="100" workbookViewId="0">
      <pane ySplit="1" topLeftCell="A118" activePane="bottomLeft" state="frozen"/>
      <selection pane="bottomLeft" activeCell="I141" sqref="I141"/>
    </sheetView>
  </sheetViews>
  <sheetFormatPr defaultColWidth="14.125" defaultRowHeight="14.25"/>
  <cols>
    <col min="6" max="6" width="14.375" customWidth="1"/>
    <col min="12" max="12" width="31.5" customWidth="1"/>
    <col min="13" max="13" width="51.5" customWidth="1"/>
    <col min="14" max="14" width="15.625" customWidth="1"/>
  </cols>
  <sheetData>
    <row r="1" spans="1:14" ht="4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7" t="s">
        <v>9</v>
      </c>
      <c r="L1" s="6" t="s">
        <v>35</v>
      </c>
      <c r="M1" s="6" t="s">
        <v>37</v>
      </c>
      <c r="N1" s="6" t="s">
        <v>36</v>
      </c>
    </row>
    <row r="2" spans="1:14">
      <c r="A2" s="7">
        <v>45658</v>
      </c>
      <c r="B2" s="1" t="s">
        <v>10</v>
      </c>
      <c r="C2" s="1" t="s">
        <v>11</v>
      </c>
      <c r="D2" s="1" t="s">
        <v>12</v>
      </c>
      <c r="E2" s="2">
        <v>194</v>
      </c>
      <c r="F2" s="3">
        <v>447.79</v>
      </c>
      <c r="G2" s="4">
        <v>2.5</v>
      </c>
      <c r="H2" s="3">
        <v>34.880000000000003</v>
      </c>
      <c r="I2" s="4">
        <v>0</v>
      </c>
      <c r="J2" s="8">
        <v>60</v>
      </c>
      <c r="L2">
        <f>Table2[[#This Row],[จำนวน(ชิ้น)]]*Table2[[#This Row],[ราคาต่อหน่วย]]</f>
        <v>86871.260000000009</v>
      </c>
      <c r="M2" t="str">
        <f>BAHTTEXT(L2)</f>
        <v>แปดหมื่นหกพันแปดร้อยเจ็ดสิบเอ็ดบาทยี่สิบหกสตางค์</v>
      </c>
      <c r="N2" t="str">
        <f>IF(Table2[จำนวน(ชิ้น)] &lt;= 100,"สั่งซื้อ","ไม่ซื้อ")</f>
        <v>ไม่ซื้อ</v>
      </c>
    </row>
    <row r="3" spans="1:14">
      <c r="A3" s="7">
        <v>45661</v>
      </c>
      <c r="B3" s="1" t="s">
        <v>10</v>
      </c>
      <c r="C3" s="1" t="s">
        <v>11</v>
      </c>
      <c r="D3" s="1" t="s">
        <v>13</v>
      </c>
      <c r="E3" s="2">
        <v>113</v>
      </c>
      <c r="F3" s="3">
        <v>95.08</v>
      </c>
      <c r="G3" s="4">
        <v>0</v>
      </c>
      <c r="H3" s="3">
        <v>54.66</v>
      </c>
      <c r="I3" s="4">
        <v>0</v>
      </c>
      <c r="J3" s="8">
        <v>45</v>
      </c>
      <c r="L3">
        <f>Table2[[#This Row],[จำนวน(ชิ้น)]]*Table2[[#This Row],[ราคาต่อหน่วย]]</f>
        <v>10744.039999999999</v>
      </c>
      <c r="M3" t="str">
        <f t="shared" ref="M3:M66" si="0">BAHTTEXT(L3)</f>
        <v>หนึ่งหมื่นเจ็ดร้อยสี่สิบสี่บาทสี่สตางค์</v>
      </c>
      <c r="N3" t="str">
        <f>IF(Table2[จำนวน(ชิ้น)] &lt;= 100,"สั่งซื้อ","ไม่ซื้อ")</f>
        <v>ไม่ซื้อ</v>
      </c>
    </row>
    <row r="4" spans="1:14">
      <c r="A4" s="7">
        <v>45664</v>
      </c>
      <c r="B4" s="1" t="s">
        <v>14</v>
      </c>
      <c r="C4" s="1" t="s">
        <v>15</v>
      </c>
      <c r="D4" s="1" t="s">
        <v>16</v>
      </c>
      <c r="E4" s="2">
        <v>119</v>
      </c>
      <c r="F4" s="3">
        <v>903.44</v>
      </c>
      <c r="G4" s="4">
        <v>15</v>
      </c>
      <c r="H4" s="3">
        <v>217.33</v>
      </c>
      <c r="I4" s="4">
        <v>0</v>
      </c>
      <c r="J4" s="8">
        <v>60</v>
      </c>
      <c r="L4">
        <f>Table2[[#This Row],[จำนวน(ชิ้น)]]*Table2[[#This Row],[ราคาต่อหน่วย]]</f>
        <v>107509.36</v>
      </c>
      <c r="M4" t="str">
        <f t="shared" si="0"/>
        <v>หนึ่งแสนเจ็ดพันห้าร้อยเก้าบาทสามสิบหกสตางค์</v>
      </c>
      <c r="N4" t="str">
        <f>IF(Table2[จำนวน(ชิ้น)] &lt;= 100,"สั่งซื้อ","ไม่ซื้อ")</f>
        <v>ไม่ซื้อ</v>
      </c>
    </row>
    <row r="5" spans="1:14">
      <c r="A5" s="7">
        <v>45667</v>
      </c>
      <c r="B5" s="1" t="s">
        <v>17</v>
      </c>
      <c r="C5" s="1" t="s">
        <v>18</v>
      </c>
      <c r="D5" s="1" t="s">
        <v>19</v>
      </c>
      <c r="E5" s="2">
        <v>44</v>
      </c>
      <c r="F5" s="3">
        <v>361.2</v>
      </c>
      <c r="G5" s="4">
        <v>15</v>
      </c>
      <c r="H5" s="3">
        <v>84.15</v>
      </c>
      <c r="I5" s="4">
        <v>0</v>
      </c>
      <c r="J5" s="8">
        <v>30</v>
      </c>
      <c r="L5">
        <f>Table2[[#This Row],[จำนวน(ชิ้น)]]*Table2[[#This Row],[ราคาต่อหน่วย]]</f>
        <v>15892.8</v>
      </c>
      <c r="M5" t="str">
        <f t="shared" si="0"/>
        <v>หนึ่งหมื่นห้าพันแปดร้อยเก้าสิบสองบาทแปดสิบสตางค์</v>
      </c>
      <c r="N5" t="str">
        <f>IF(Table2[จำนวน(ชิ้น)] &lt;= 100,"สั่งซื้อ","ไม่ซื้อ")</f>
        <v>สั่งซื้อ</v>
      </c>
    </row>
    <row r="6" spans="1:14">
      <c r="A6" s="7">
        <v>45670</v>
      </c>
      <c r="B6" s="1" t="s">
        <v>20</v>
      </c>
      <c r="C6" s="1" t="s">
        <v>18</v>
      </c>
      <c r="D6" s="1" t="s">
        <v>21</v>
      </c>
      <c r="E6" s="2">
        <v>93</v>
      </c>
      <c r="F6" s="3">
        <v>924.4</v>
      </c>
      <c r="G6" s="4">
        <v>15</v>
      </c>
      <c r="H6" s="3">
        <v>10.86</v>
      </c>
      <c r="I6" s="4">
        <v>7</v>
      </c>
      <c r="J6" s="8">
        <v>45</v>
      </c>
      <c r="L6">
        <f>Table2[[#This Row],[จำนวน(ชิ้น)]]*Table2[[#This Row],[ราคาต่อหน่วย]]</f>
        <v>85969.2</v>
      </c>
      <c r="M6" t="str">
        <f t="shared" si="0"/>
        <v>แปดหมื่นห้าพันเก้าร้อยหกสิบเก้าบาทยี่สิบสตางค์</v>
      </c>
      <c r="N6" t="str">
        <f>IF(Table2[จำนวน(ชิ้น)] &lt;= 100,"สั่งซื้อ","ไม่ซื้อ")</f>
        <v>สั่งซื้อ</v>
      </c>
    </row>
    <row r="7" spans="1:14">
      <c r="A7" s="7">
        <v>45673</v>
      </c>
      <c r="B7" s="1" t="s">
        <v>20</v>
      </c>
      <c r="C7" s="1" t="s">
        <v>15</v>
      </c>
      <c r="D7" s="1" t="s">
        <v>12</v>
      </c>
      <c r="E7" s="2">
        <v>146</v>
      </c>
      <c r="F7" s="3">
        <v>474.11</v>
      </c>
      <c r="G7" s="4">
        <v>12.5</v>
      </c>
      <c r="H7" s="3">
        <v>154.63</v>
      </c>
      <c r="I7" s="4">
        <v>7</v>
      </c>
      <c r="J7" s="8">
        <v>45</v>
      </c>
      <c r="L7">
        <f>Table2[[#This Row],[จำนวน(ชิ้น)]]*Table2[[#This Row],[ราคาต่อหน่วย]]</f>
        <v>69220.06</v>
      </c>
      <c r="M7" t="str">
        <f t="shared" si="0"/>
        <v>หกหมื่นเก้าพันสองร้อยยี่สิบบาทหกสตางค์</v>
      </c>
      <c r="N7" t="str">
        <f>IF(Table2[จำนวน(ชิ้น)] &lt;= 100,"สั่งซื้อ","ไม่ซื้อ")</f>
        <v>ไม่ซื้อ</v>
      </c>
    </row>
    <row r="8" spans="1:14">
      <c r="A8" s="7">
        <v>45676</v>
      </c>
      <c r="B8" s="1" t="s">
        <v>14</v>
      </c>
      <c r="C8" s="1" t="s">
        <v>11</v>
      </c>
      <c r="D8" s="1" t="s">
        <v>12</v>
      </c>
      <c r="E8" s="2">
        <v>174</v>
      </c>
      <c r="F8" s="3">
        <v>379.45</v>
      </c>
      <c r="G8" s="4">
        <v>5</v>
      </c>
      <c r="H8" s="3">
        <v>246.31</v>
      </c>
      <c r="I8" s="4">
        <v>0</v>
      </c>
      <c r="J8" s="8">
        <v>0</v>
      </c>
      <c r="L8">
        <f>Table2[[#This Row],[จำนวน(ชิ้น)]]*Table2[[#This Row],[ราคาต่อหน่วย]]</f>
        <v>66024.3</v>
      </c>
      <c r="M8" t="str">
        <f t="shared" si="0"/>
        <v>หกหมื่นหกพันยี่สิบสี่บาทสามสิบสตางค์</v>
      </c>
      <c r="N8" t="str">
        <f>IF(Table2[จำนวน(ชิ้น)] &lt;= 100,"สั่งซื้อ","ไม่ซื้อ")</f>
        <v>ไม่ซื้อ</v>
      </c>
    </row>
    <row r="9" spans="1:14">
      <c r="A9" s="7">
        <v>45679</v>
      </c>
      <c r="B9" s="1" t="s">
        <v>17</v>
      </c>
      <c r="C9" s="1" t="s">
        <v>22</v>
      </c>
      <c r="D9" s="1" t="s">
        <v>23</v>
      </c>
      <c r="E9" s="2">
        <v>167</v>
      </c>
      <c r="F9" s="3">
        <v>1258.46</v>
      </c>
      <c r="G9" s="4">
        <v>2.5</v>
      </c>
      <c r="H9" s="3">
        <v>92.55</v>
      </c>
      <c r="I9" s="4">
        <v>0</v>
      </c>
      <c r="J9" s="8">
        <v>60</v>
      </c>
      <c r="L9">
        <f>Table2[[#This Row],[จำนวน(ชิ้น)]]*Table2[[#This Row],[ราคาต่อหน่วย]]</f>
        <v>210162.82</v>
      </c>
      <c r="M9" t="str">
        <f t="shared" si="0"/>
        <v>สองแสนหนึ่งหมื่นหนึ่งร้อยหกสิบสองบาทแปดสิบสองสตางค์</v>
      </c>
      <c r="N9" t="str">
        <f>IF(Table2[จำนวน(ชิ้น)] &lt;= 100,"สั่งซื้อ","ไม่ซื้อ")</f>
        <v>ไม่ซื้อ</v>
      </c>
    </row>
    <row r="10" spans="1:14">
      <c r="A10" s="7">
        <v>45682</v>
      </c>
      <c r="B10" s="1" t="s">
        <v>24</v>
      </c>
      <c r="C10" s="1" t="s">
        <v>11</v>
      </c>
      <c r="D10" s="1" t="s">
        <v>13</v>
      </c>
      <c r="E10" s="2">
        <v>167</v>
      </c>
      <c r="F10" s="3">
        <v>297.14999999999998</v>
      </c>
      <c r="G10" s="4">
        <v>12.5</v>
      </c>
      <c r="H10" s="3">
        <v>61.2</v>
      </c>
      <c r="I10" s="4">
        <v>7</v>
      </c>
      <c r="J10" s="8">
        <v>30</v>
      </c>
      <c r="L10">
        <f>Table2[[#This Row],[จำนวน(ชิ้น)]]*Table2[[#This Row],[ราคาต่อหน่วย]]</f>
        <v>49624.049999999996</v>
      </c>
      <c r="M10" t="str">
        <f t="shared" si="0"/>
        <v>สี่หมื่นเก้าพันหกร้อยยี่สิบสี่บาทห้าสตางค์</v>
      </c>
      <c r="N10" t="str">
        <f>IF(Table2[จำนวน(ชิ้น)] &lt;= 100,"สั่งซื้อ","ไม่ซื้อ")</f>
        <v>ไม่ซื้อ</v>
      </c>
    </row>
    <row r="11" spans="1:14">
      <c r="A11" s="7">
        <v>45685</v>
      </c>
      <c r="B11" s="1" t="s">
        <v>24</v>
      </c>
      <c r="C11" s="1" t="s">
        <v>25</v>
      </c>
      <c r="D11" s="1" t="s">
        <v>26</v>
      </c>
      <c r="E11" s="2">
        <v>88</v>
      </c>
      <c r="F11" s="3">
        <v>1271.1400000000001</v>
      </c>
      <c r="G11" s="4">
        <v>15</v>
      </c>
      <c r="H11" s="3">
        <v>13.98</v>
      </c>
      <c r="I11" s="4">
        <v>0</v>
      </c>
      <c r="J11" s="8">
        <v>15</v>
      </c>
      <c r="L11">
        <f>Table2[[#This Row],[จำนวน(ชิ้น)]]*Table2[[#This Row],[ราคาต่อหน่วย]]</f>
        <v>111860.32</v>
      </c>
      <c r="M11" t="str">
        <f t="shared" si="0"/>
        <v>หนึ่งแสนหนึ่งหมื่นหนึ่งพันแปดร้อยหกสิบบาทสามสิบสองสตางค์</v>
      </c>
      <c r="N11" t="str">
        <f>IF(Table2[จำนวน(ชิ้น)] &lt;= 100,"สั่งซื้อ","ไม่ซื้อ")</f>
        <v>สั่งซื้อ</v>
      </c>
    </row>
    <row r="12" spans="1:14">
      <c r="A12" s="7">
        <v>45688</v>
      </c>
      <c r="B12" s="1" t="s">
        <v>17</v>
      </c>
      <c r="C12" s="1" t="s">
        <v>22</v>
      </c>
      <c r="D12" s="1" t="s">
        <v>12</v>
      </c>
      <c r="E12" s="2">
        <v>59</v>
      </c>
      <c r="F12" s="3">
        <v>1373.05</v>
      </c>
      <c r="G12" s="4">
        <v>10</v>
      </c>
      <c r="H12" s="3">
        <v>219.09</v>
      </c>
      <c r="I12" s="4">
        <v>7</v>
      </c>
      <c r="J12" s="8">
        <v>7</v>
      </c>
      <c r="L12">
        <f>Table2[[#This Row],[จำนวน(ชิ้น)]]*Table2[[#This Row],[ราคาต่อหน่วย]]</f>
        <v>81009.95</v>
      </c>
      <c r="M12" t="str">
        <f t="shared" si="0"/>
        <v>แปดหมื่นหนึ่งพันเก้าบาทเก้าสิบห้าสตางค์</v>
      </c>
      <c r="N12" t="str">
        <f>IF(Table2[จำนวน(ชิ้น)] &lt;= 100,"สั่งซื้อ","ไม่ซื้อ")</f>
        <v>สั่งซื้อ</v>
      </c>
    </row>
    <row r="13" spans="1:14">
      <c r="A13" s="7">
        <v>45691</v>
      </c>
      <c r="B13" s="1" t="s">
        <v>10</v>
      </c>
      <c r="C13" s="1" t="s">
        <v>27</v>
      </c>
      <c r="D13" s="1" t="s">
        <v>23</v>
      </c>
      <c r="E13" s="2">
        <v>231</v>
      </c>
      <c r="F13" s="3">
        <v>1375.09</v>
      </c>
      <c r="G13" s="4">
        <v>7.5</v>
      </c>
      <c r="H13" s="3">
        <v>35.72</v>
      </c>
      <c r="I13" s="4">
        <v>0</v>
      </c>
      <c r="J13" s="8">
        <v>7</v>
      </c>
      <c r="L13">
        <f>Table2[[#This Row],[จำนวน(ชิ้น)]]*Table2[[#This Row],[ราคาต่อหน่วย]]</f>
        <v>317645.78999999998</v>
      </c>
      <c r="M13" t="str">
        <f t="shared" si="0"/>
        <v>สามแสนหนึ่งหมื่นเจ็ดพันหกร้อยสี่สิบห้าบาทเจ็ดสิบเก้าสตางค์</v>
      </c>
      <c r="N13" t="str">
        <f>IF(Table2[จำนวน(ชิ้น)] &lt;= 100,"สั่งซื้อ","ไม่ซื้อ")</f>
        <v>ไม่ซื้อ</v>
      </c>
    </row>
    <row r="14" spans="1:14">
      <c r="A14" s="7">
        <v>45694</v>
      </c>
      <c r="B14" s="1" t="s">
        <v>10</v>
      </c>
      <c r="C14" s="1" t="s">
        <v>22</v>
      </c>
      <c r="D14" s="1" t="s">
        <v>26</v>
      </c>
      <c r="E14" s="2">
        <v>154</v>
      </c>
      <c r="F14" s="3">
        <v>670.23</v>
      </c>
      <c r="G14" s="4">
        <v>10</v>
      </c>
      <c r="H14" s="3">
        <v>99.85</v>
      </c>
      <c r="I14" s="4">
        <v>0</v>
      </c>
      <c r="J14" s="8">
        <v>7</v>
      </c>
      <c r="L14">
        <f>Table2[[#This Row],[จำนวน(ชิ้น)]]*Table2[[#This Row],[ราคาต่อหน่วย]]</f>
        <v>103215.42</v>
      </c>
      <c r="M14" t="str">
        <f t="shared" si="0"/>
        <v>หนึ่งแสนสามพันสองร้อยสิบห้าบาทสี่สิบสองสตางค์</v>
      </c>
      <c r="N14" t="str">
        <f>IF(Table2[จำนวน(ชิ้น)] &lt;= 100,"สั่งซื้อ","ไม่ซื้อ")</f>
        <v>ไม่ซื้อ</v>
      </c>
    </row>
    <row r="15" spans="1:14">
      <c r="A15" s="7">
        <v>45697</v>
      </c>
      <c r="B15" s="1" t="s">
        <v>28</v>
      </c>
      <c r="C15" s="1" t="s">
        <v>27</v>
      </c>
      <c r="D15" s="1" t="s">
        <v>12</v>
      </c>
      <c r="E15" s="2">
        <v>198</v>
      </c>
      <c r="F15" s="3">
        <v>117.32</v>
      </c>
      <c r="G15" s="4">
        <v>0</v>
      </c>
      <c r="H15" s="3">
        <v>38.21</v>
      </c>
      <c r="I15" s="4">
        <v>0</v>
      </c>
      <c r="J15" s="8">
        <v>60</v>
      </c>
      <c r="L15">
        <f>Table2[[#This Row],[จำนวน(ชิ้น)]]*Table2[[#This Row],[ราคาต่อหน่วย]]</f>
        <v>23229.359999999997</v>
      </c>
      <c r="M15" t="str">
        <f t="shared" si="0"/>
        <v>สองหมื่นสามพันสองร้อยยี่สิบเก้าบาทสามสิบหกสตางค์</v>
      </c>
      <c r="N15" t="str">
        <f>IF(Table2[จำนวน(ชิ้น)] &lt;= 100,"สั่งซื้อ","ไม่ซื้อ")</f>
        <v>ไม่ซื้อ</v>
      </c>
    </row>
    <row r="16" spans="1:14">
      <c r="A16" s="7">
        <v>45700</v>
      </c>
      <c r="B16" s="1" t="s">
        <v>17</v>
      </c>
      <c r="C16" s="1" t="s">
        <v>11</v>
      </c>
      <c r="D16" s="1" t="s">
        <v>23</v>
      </c>
      <c r="E16" s="2">
        <v>102</v>
      </c>
      <c r="F16" s="3">
        <v>913.04</v>
      </c>
      <c r="G16" s="4">
        <v>7.5</v>
      </c>
      <c r="H16" s="3">
        <v>132.28</v>
      </c>
      <c r="I16" s="4">
        <v>0</v>
      </c>
      <c r="J16" s="8">
        <v>60</v>
      </c>
      <c r="L16">
        <f>Table2[[#This Row],[จำนวน(ชิ้น)]]*Table2[[#This Row],[ราคาต่อหน่วย]]</f>
        <v>93130.08</v>
      </c>
      <c r="M16" t="str">
        <f t="shared" si="0"/>
        <v>เก้าหมื่นสามพันหนึ่งร้อยสามสิบบาทแปดสตางค์</v>
      </c>
      <c r="N16" t="str">
        <f>IF(Table2[จำนวน(ชิ้น)] &lt;= 100,"สั่งซื้อ","ไม่ซื้อ")</f>
        <v>ไม่ซื้อ</v>
      </c>
    </row>
    <row r="17" spans="1:14">
      <c r="A17" s="7">
        <v>45703</v>
      </c>
      <c r="B17" s="1" t="s">
        <v>10</v>
      </c>
      <c r="C17" s="1" t="s">
        <v>11</v>
      </c>
      <c r="D17" s="1" t="s">
        <v>26</v>
      </c>
      <c r="E17" s="2">
        <v>231</v>
      </c>
      <c r="F17" s="3">
        <v>827.61</v>
      </c>
      <c r="G17" s="4">
        <v>5</v>
      </c>
      <c r="H17" s="3">
        <v>192.15</v>
      </c>
      <c r="I17" s="4">
        <v>7</v>
      </c>
      <c r="J17" s="8">
        <v>0</v>
      </c>
      <c r="L17">
        <f>Table2[[#This Row],[จำนวน(ชิ้น)]]*Table2[[#This Row],[ราคาต่อหน่วย]]</f>
        <v>191177.91</v>
      </c>
      <c r="M17" t="str">
        <f t="shared" si="0"/>
        <v>หนึ่งแสนเก้าหมื่นหนึ่งพันหนึ่งร้อยเจ็ดสิบเจ็ดบาทเก้าสิบเอ็ดสตางค์</v>
      </c>
      <c r="N17" t="str">
        <f>IF(Table2[จำนวน(ชิ้น)] &lt;= 100,"สั่งซื้อ","ไม่ซื้อ")</f>
        <v>ไม่ซื้อ</v>
      </c>
    </row>
    <row r="18" spans="1:14">
      <c r="A18" s="7">
        <v>45706</v>
      </c>
      <c r="B18" s="1" t="s">
        <v>24</v>
      </c>
      <c r="C18" s="1" t="s">
        <v>15</v>
      </c>
      <c r="D18" s="1" t="s">
        <v>16</v>
      </c>
      <c r="E18" s="2">
        <v>121</v>
      </c>
      <c r="F18" s="3">
        <v>53.71</v>
      </c>
      <c r="G18" s="4">
        <v>12.5</v>
      </c>
      <c r="H18" s="3">
        <v>218.96</v>
      </c>
      <c r="I18" s="4">
        <v>7</v>
      </c>
      <c r="J18" s="8">
        <v>45</v>
      </c>
      <c r="L18">
        <f>Table2[[#This Row],[จำนวน(ชิ้น)]]*Table2[[#This Row],[ราคาต่อหน่วย]]</f>
        <v>6498.91</v>
      </c>
      <c r="M18" t="str">
        <f t="shared" si="0"/>
        <v>หกพันสี่ร้อยเก้าสิบแปดบาทเก้าสิบเอ็ดสตางค์</v>
      </c>
      <c r="N18" t="str">
        <f>IF(Table2[จำนวน(ชิ้น)] &lt;= 100,"สั่งซื้อ","ไม่ซื้อ")</f>
        <v>ไม่ซื้อ</v>
      </c>
    </row>
    <row r="19" spans="1:14">
      <c r="A19" s="7">
        <v>45709</v>
      </c>
      <c r="B19" s="1" t="s">
        <v>14</v>
      </c>
      <c r="C19" s="1" t="s">
        <v>11</v>
      </c>
      <c r="D19" s="1" t="s">
        <v>21</v>
      </c>
      <c r="E19" s="2">
        <v>165</v>
      </c>
      <c r="F19" s="3">
        <v>481.74</v>
      </c>
      <c r="G19" s="4">
        <v>12.5</v>
      </c>
      <c r="H19" s="3">
        <v>126.92</v>
      </c>
      <c r="I19" s="4">
        <v>0</v>
      </c>
      <c r="J19" s="8">
        <v>7</v>
      </c>
      <c r="L19">
        <f>Table2[[#This Row],[จำนวน(ชิ้น)]]*Table2[[#This Row],[ราคาต่อหน่วย]]</f>
        <v>79487.100000000006</v>
      </c>
      <c r="M19" t="str">
        <f t="shared" si="0"/>
        <v>เจ็ดหมื่นเก้าพันสี่ร้อยแปดสิบเจ็ดบาทสิบสตางค์</v>
      </c>
      <c r="N19" t="str">
        <f>IF(Table2[จำนวน(ชิ้น)] &lt;= 100,"สั่งซื้อ","ไม่ซื้อ")</f>
        <v>ไม่ซื้อ</v>
      </c>
    </row>
    <row r="20" spans="1:14">
      <c r="A20" s="7">
        <v>45712</v>
      </c>
      <c r="B20" s="1" t="s">
        <v>24</v>
      </c>
      <c r="C20" s="1" t="s">
        <v>29</v>
      </c>
      <c r="D20" s="1" t="s">
        <v>13</v>
      </c>
      <c r="E20" s="2">
        <v>249</v>
      </c>
      <c r="F20" s="3">
        <v>1178.01</v>
      </c>
      <c r="G20" s="4">
        <v>10</v>
      </c>
      <c r="H20" s="3">
        <v>229.62</v>
      </c>
      <c r="I20" s="4">
        <v>7</v>
      </c>
      <c r="J20" s="8">
        <v>30</v>
      </c>
      <c r="L20">
        <f>Table2[[#This Row],[จำนวน(ชิ้น)]]*Table2[[#This Row],[ราคาต่อหน่วย]]</f>
        <v>293324.49</v>
      </c>
      <c r="M20" t="str">
        <f t="shared" si="0"/>
        <v>สองแสนเก้าหมื่นสามพันสามร้อยยี่สิบสี่บาทสี่สิบเก้าสตางค์</v>
      </c>
      <c r="N20" t="str">
        <f>IF(Table2[จำนวน(ชิ้น)] &lt;= 100,"สั่งซื้อ","ไม่ซื้อ")</f>
        <v>ไม่ซื้อ</v>
      </c>
    </row>
    <row r="21" spans="1:14">
      <c r="A21" s="7">
        <v>45715</v>
      </c>
      <c r="B21" s="1" t="s">
        <v>20</v>
      </c>
      <c r="C21" s="1" t="s">
        <v>11</v>
      </c>
      <c r="D21" s="1" t="s">
        <v>19</v>
      </c>
      <c r="E21" s="2">
        <v>229</v>
      </c>
      <c r="F21" s="3">
        <v>1477.72</v>
      </c>
      <c r="G21" s="4">
        <v>15</v>
      </c>
      <c r="H21" s="3">
        <v>76.88</v>
      </c>
      <c r="I21" s="4">
        <v>0</v>
      </c>
      <c r="J21" s="8">
        <v>7</v>
      </c>
      <c r="L21">
        <f>Table2[[#This Row],[จำนวน(ชิ้น)]]*Table2[[#This Row],[ราคาต่อหน่วย]]</f>
        <v>338397.88</v>
      </c>
      <c r="M21" t="str">
        <f t="shared" si="0"/>
        <v>สามแสนสามหมื่นแปดพันสามร้อยเก้าสิบเจ็ดบาทแปดสิบแปดสตางค์</v>
      </c>
      <c r="N21" t="str">
        <f>IF(Table2[จำนวน(ชิ้น)] &lt;= 100,"สั่งซื้อ","ไม่ซื้อ")</f>
        <v>ไม่ซื้อ</v>
      </c>
    </row>
    <row r="22" spans="1:14">
      <c r="A22" s="7">
        <v>45718</v>
      </c>
      <c r="B22" s="1" t="s">
        <v>28</v>
      </c>
      <c r="C22" s="1" t="s">
        <v>11</v>
      </c>
      <c r="D22" s="1" t="s">
        <v>12</v>
      </c>
      <c r="E22" s="2">
        <v>192</v>
      </c>
      <c r="F22" s="3">
        <v>753.69</v>
      </c>
      <c r="G22" s="4">
        <v>0</v>
      </c>
      <c r="H22" s="3">
        <v>244.5</v>
      </c>
      <c r="I22" s="4">
        <v>0</v>
      </c>
      <c r="J22" s="8">
        <v>7</v>
      </c>
      <c r="L22">
        <f>Table2[[#This Row],[จำนวน(ชิ้น)]]*Table2[[#This Row],[ราคาต่อหน่วย]]</f>
        <v>144708.48000000001</v>
      </c>
      <c r="M22" t="str">
        <f t="shared" si="0"/>
        <v>หนึ่งแสนสี่หมื่นสี่พันเจ็ดร้อยแปดบาทสี่สิบแปดสตางค์</v>
      </c>
      <c r="N22" t="str">
        <f>IF(Table2[จำนวน(ชิ้น)] &lt;= 100,"สั่งซื้อ","ไม่ซื้อ")</f>
        <v>ไม่ซื้อ</v>
      </c>
    </row>
    <row r="23" spans="1:14">
      <c r="A23" s="7">
        <v>45721</v>
      </c>
      <c r="B23" s="1" t="s">
        <v>10</v>
      </c>
      <c r="C23" s="1" t="s">
        <v>27</v>
      </c>
      <c r="D23" s="1" t="s">
        <v>13</v>
      </c>
      <c r="E23" s="2">
        <v>47</v>
      </c>
      <c r="F23" s="3">
        <v>433.33</v>
      </c>
      <c r="G23" s="4">
        <v>15</v>
      </c>
      <c r="H23" s="3">
        <v>151.65</v>
      </c>
      <c r="I23" s="4">
        <v>0</v>
      </c>
      <c r="J23" s="8">
        <v>45</v>
      </c>
      <c r="L23">
        <f>Table2[[#This Row],[จำนวน(ชิ้น)]]*Table2[[#This Row],[ราคาต่อหน่วย]]</f>
        <v>20366.509999999998</v>
      </c>
      <c r="M23" t="str">
        <f t="shared" si="0"/>
        <v>สองหมื่นสามร้อยหกสิบหกบาทห้าสิบเอ็ดสตางค์</v>
      </c>
      <c r="N23" t="str">
        <f>IF(Table2[จำนวน(ชิ้น)] &lt;= 100,"สั่งซื้อ","ไม่ซื้อ")</f>
        <v>สั่งซื้อ</v>
      </c>
    </row>
    <row r="24" spans="1:14">
      <c r="A24" s="7">
        <v>45724</v>
      </c>
      <c r="B24" s="1" t="s">
        <v>10</v>
      </c>
      <c r="C24" s="1" t="s">
        <v>25</v>
      </c>
      <c r="D24" s="1" t="s">
        <v>26</v>
      </c>
      <c r="E24" s="2">
        <v>84</v>
      </c>
      <c r="F24" s="3">
        <v>627.54</v>
      </c>
      <c r="G24" s="4">
        <v>12.5</v>
      </c>
      <c r="H24" s="3">
        <v>162.47</v>
      </c>
      <c r="I24" s="4">
        <v>7</v>
      </c>
      <c r="J24" s="8">
        <v>45</v>
      </c>
      <c r="L24">
        <f>Table2[[#This Row],[จำนวน(ชิ้น)]]*Table2[[#This Row],[ราคาต่อหน่วย]]</f>
        <v>52713.36</v>
      </c>
      <c r="M24" t="str">
        <f t="shared" si="0"/>
        <v>ห้าหมื่นสองพันเจ็ดร้อยสิบสามบาทสามสิบหกสตางค์</v>
      </c>
      <c r="N24" t="str">
        <f>IF(Table2[จำนวน(ชิ้น)] &lt;= 100,"สั่งซื้อ","ไม่ซื้อ")</f>
        <v>สั่งซื้อ</v>
      </c>
    </row>
    <row r="25" spans="1:14">
      <c r="A25" s="7">
        <v>45727</v>
      </c>
      <c r="B25" s="1" t="s">
        <v>17</v>
      </c>
      <c r="C25" s="1" t="s">
        <v>11</v>
      </c>
      <c r="D25" s="1" t="s">
        <v>16</v>
      </c>
      <c r="E25" s="2">
        <v>62</v>
      </c>
      <c r="F25" s="3">
        <v>141.84</v>
      </c>
      <c r="G25" s="4">
        <v>0</v>
      </c>
      <c r="H25" s="3">
        <v>147.08000000000001</v>
      </c>
      <c r="I25" s="4">
        <v>0</v>
      </c>
      <c r="J25" s="8">
        <v>45</v>
      </c>
      <c r="L25">
        <f>Table2[[#This Row],[จำนวน(ชิ้น)]]*Table2[[#This Row],[ราคาต่อหน่วย]]</f>
        <v>8794.08</v>
      </c>
      <c r="M25" t="str">
        <f t="shared" si="0"/>
        <v>แปดพันเจ็ดร้อยเก้าสิบสี่บาทแปดสตางค์</v>
      </c>
      <c r="N25" t="str">
        <f>IF(Table2[จำนวน(ชิ้น)] &lt;= 100,"สั่งซื้อ","ไม่ซื้อ")</f>
        <v>สั่งซื้อ</v>
      </c>
    </row>
    <row r="26" spans="1:14">
      <c r="A26" s="7">
        <v>45730</v>
      </c>
      <c r="B26" s="1" t="s">
        <v>14</v>
      </c>
      <c r="C26" s="1" t="s">
        <v>30</v>
      </c>
      <c r="D26" s="1" t="s">
        <v>12</v>
      </c>
      <c r="E26" s="2">
        <v>186</v>
      </c>
      <c r="F26" s="3">
        <v>964.1</v>
      </c>
      <c r="G26" s="4">
        <v>2.5</v>
      </c>
      <c r="H26" s="3">
        <v>16.850000000000001</v>
      </c>
      <c r="I26" s="4">
        <v>0</v>
      </c>
      <c r="J26" s="8">
        <v>15</v>
      </c>
      <c r="L26">
        <f>Table2[[#This Row],[จำนวน(ชิ้น)]]*Table2[[#This Row],[ราคาต่อหน่วย]]</f>
        <v>179322.6</v>
      </c>
      <c r="M26" t="str">
        <f t="shared" si="0"/>
        <v>หนึ่งแสนเจ็ดหมื่นเก้าพันสามร้อยยี่สิบสองบาทหกสิบสตางค์</v>
      </c>
      <c r="N26" t="str">
        <f>IF(Table2[จำนวน(ชิ้น)] &lt;= 100,"สั่งซื้อ","ไม่ซื้อ")</f>
        <v>ไม่ซื้อ</v>
      </c>
    </row>
    <row r="27" spans="1:14">
      <c r="A27" s="7">
        <v>45733</v>
      </c>
      <c r="B27" s="1" t="s">
        <v>20</v>
      </c>
      <c r="C27" s="1" t="s">
        <v>25</v>
      </c>
      <c r="D27" s="1" t="s">
        <v>19</v>
      </c>
      <c r="E27" s="2">
        <v>176</v>
      </c>
      <c r="F27" s="3">
        <v>752.85</v>
      </c>
      <c r="G27" s="4">
        <v>10</v>
      </c>
      <c r="H27" s="3">
        <v>33.08</v>
      </c>
      <c r="I27" s="4">
        <v>7</v>
      </c>
      <c r="J27" s="8">
        <v>7</v>
      </c>
      <c r="L27">
        <f>Table2[[#This Row],[จำนวน(ชิ้น)]]*Table2[[#This Row],[ราคาต่อหน่วย]]</f>
        <v>132501.6</v>
      </c>
      <c r="M27" t="str">
        <f t="shared" si="0"/>
        <v>หนึ่งแสนสามหมื่นสองพันห้าร้อยเอ็ดบาทหกสิบสตางค์</v>
      </c>
      <c r="N27" t="str">
        <f>IF(Table2[จำนวน(ชิ้น)] &lt;= 100,"สั่งซื้อ","ไม่ซื้อ")</f>
        <v>ไม่ซื้อ</v>
      </c>
    </row>
    <row r="28" spans="1:14">
      <c r="A28" s="7">
        <v>45736</v>
      </c>
      <c r="B28" s="1" t="s">
        <v>17</v>
      </c>
      <c r="C28" s="1" t="s">
        <v>15</v>
      </c>
      <c r="D28" s="1" t="s">
        <v>16</v>
      </c>
      <c r="E28" s="2">
        <v>29</v>
      </c>
      <c r="F28" s="3">
        <v>189.55</v>
      </c>
      <c r="G28" s="4">
        <v>7.5</v>
      </c>
      <c r="H28" s="3">
        <v>88.57</v>
      </c>
      <c r="I28" s="4">
        <v>7</v>
      </c>
      <c r="J28" s="8">
        <v>30</v>
      </c>
      <c r="L28">
        <f>Table2[[#This Row],[จำนวน(ชิ้น)]]*Table2[[#This Row],[ราคาต่อหน่วย]]</f>
        <v>5496.9500000000007</v>
      </c>
      <c r="M28" t="str">
        <f t="shared" si="0"/>
        <v>ห้าพันสี่ร้อยเก้าสิบหกบาทเก้าสิบห้าสตางค์</v>
      </c>
      <c r="N28" t="str">
        <f>IF(Table2[จำนวน(ชิ้น)] &lt;= 100,"สั่งซื้อ","ไม่ซื้อ")</f>
        <v>สั่งซื้อ</v>
      </c>
    </row>
    <row r="29" spans="1:14">
      <c r="A29" s="7">
        <v>45739</v>
      </c>
      <c r="B29" s="1" t="s">
        <v>10</v>
      </c>
      <c r="C29" s="1" t="s">
        <v>30</v>
      </c>
      <c r="D29" s="1" t="s">
        <v>26</v>
      </c>
      <c r="E29" s="2">
        <v>172</v>
      </c>
      <c r="F29" s="3">
        <v>1476.04</v>
      </c>
      <c r="G29" s="4">
        <v>0</v>
      </c>
      <c r="H29" s="3">
        <v>15.15</v>
      </c>
      <c r="I29" s="4">
        <v>7</v>
      </c>
      <c r="J29" s="8">
        <v>0</v>
      </c>
      <c r="L29">
        <f>Table2[[#This Row],[จำนวน(ชิ้น)]]*Table2[[#This Row],[ราคาต่อหน่วย]]</f>
        <v>253878.88</v>
      </c>
      <c r="M29" t="str">
        <f t="shared" si="0"/>
        <v>สองแสนห้าหมื่นสามพันแปดร้อยเจ็ดสิบแปดบาทแปดสิบแปดสตางค์</v>
      </c>
      <c r="N29" t="str">
        <f>IF(Table2[จำนวน(ชิ้น)] &lt;= 100,"สั่งซื้อ","ไม่ซื้อ")</f>
        <v>ไม่ซื้อ</v>
      </c>
    </row>
    <row r="30" spans="1:14">
      <c r="A30" s="7">
        <v>45742</v>
      </c>
      <c r="B30" s="1" t="s">
        <v>14</v>
      </c>
      <c r="C30" s="1" t="s">
        <v>25</v>
      </c>
      <c r="D30" s="1" t="s">
        <v>16</v>
      </c>
      <c r="E30" s="2">
        <v>142</v>
      </c>
      <c r="F30" s="3">
        <v>699.49</v>
      </c>
      <c r="G30" s="4">
        <v>7.5</v>
      </c>
      <c r="H30" s="3">
        <v>45.87</v>
      </c>
      <c r="I30" s="4">
        <v>7</v>
      </c>
      <c r="J30" s="8">
        <v>7</v>
      </c>
      <c r="L30">
        <f>Table2[[#This Row],[จำนวน(ชิ้น)]]*Table2[[#This Row],[ราคาต่อหน่วย]]</f>
        <v>99327.58</v>
      </c>
      <c r="M30" t="str">
        <f t="shared" si="0"/>
        <v>เก้าหมื่นเก้าพันสามร้อยยี่สิบเจ็ดบาทห้าสิบแปดสตางค์</v>
      </c>
      <c r="N30" t="str">
        <f>IF(Table2[จำนวน(ชิ้น)] &lt;= 100,"สั่งซื้อ","ไม่ซื้อ")</f>
        <v>ไม่ซื้อ</v>
      </c>
    </row>
    <row r="31" spans="1:14">
      <c r="A31" s="7">
        <v>45745</v>
      </c>
      <c r="B31" s="1" t="s">
        <v>20</v>
      </c>
      <c r="C31" s="1" t="s">
        <v>27</v>
      </c>
      <c r="D31" s="1" t="s">
        <v>21</v>
      </c>
      <c r="E31" s="2">
        <v>225</v>
      </c>
      <c r="F31" s="3">
        <v>1290.1500000000001</v>
      </c>
      <c r="G31" s="4">
        <v>0</v>
      </c>
      <c r="H31" s="3">
        <v>12.65</v>
      </c>
      <c r="I31" s="4">
        <v>0</v>
      </c>
      <c r="J31" s="8">
        <v>0</v>
      </c>
      <c r="L31">
        <f>Table2[[#This Row],[จำนวน(ชิ้น)]]*Table2[[#This Row],[ราคาต่อหน่วย]]</f>
        <v>290283.75</v>
      </c>
      <c r="M31" t="str">
        <f t="shared" si="0"/>
        <v>สองแสนเก้าหมื่นสองร้อยแปดสิบสามบาทเจ็ดสิบห้าสตางค์</v>
      </c>
      <c r="N31" t="str">
        <f>IF(Table2[จำนวน(ชิ้น)] &lt;= 100,"สั่งซื้อ","ไม่ซื้อ")</f>
        <v>ไม่ซื้อ</v>
      </c>
    </row>
    <row r="32" spans="1:14">
      <c r="A32" s="7">
        <v>45748</v>
      </c>
      <c r="B32" s="1" t="s">
        <v>14</v>
      </c>
      <c r="C32" s="1" t="s">
        <v>29</v>
      </c>
      <c r="D32" s="1" t="s">
        <v>23</v>
      </c>
      <c r="E32" s="2">
        <v>129</v>
      </c>
      <c r="F32" s="3">
        <v>746.97</v>
      </c>
      <c r="G32" s="4">
        <v>15</v>
      </c>
      <c r="H32" s="3">
        <v>100.26</v>
      </c>
      <c r="I32" s="4">
        <v>0</v>
      </c>
      <c r="J32" s="8">
        <v>7</v>
      </c>
      <c r="L32">
        <f>Table2[[#This Row],[จำนวน(ชิ้น)]]*Table2[[#This Row],[ราคาต่อหน่วย]]</f>
        <v>96359.13</v>
      </c>
      <c r="M32" t="str">
        <f t="shared" si="0"/>
        <v>เก้าหมื่นหกพันสามร้อยห้าสิบเก้าบาทสิบสามสตางค์</v>
      </c>
      <c r="N32" t="str">
        <f>IF(Table2[จำนวน(ชิ้น)] &lt;= 100,"สั่งซื้อ","ไม่ซื้อ")</f>
        <v>ไม่ซื้อ</v>
      </c>
    </row>
    <row r="33" spans="1:14">
      <c r="A33" s="7">
        <v>45751</v>
      </c>
      <c r="B33" s="1" t="s">
        <v>17</v>
      </c>
      <c r="C33" s="1" t="s">
        <v>30</v>
      </c>
      <c r="D33" s="1" t="s">
        <v>23</v>
      </c>
      <c r="E33" s="2">
        <v>72</v>
      </c>
      <c r="F33" s="3">
        <v>1392.45</v>
      </c>
      <c r="G33" s="4">
        <v>15</v>
      </c>
      <c r="H33" s="3">
        <v>113.75</v>
      </c>
      <c r="I33" s="4">
        <v>7</v>
      </c>
      <c r="J33" s="8">
        <v>60</v>
      </c>
      <c r="L33">
        <f>Table2[[#This Row],[จำนวน(ชิ้น)]]*Table2[[#This Row],[ราคาต่อหน่วย]]</f>
        <v>100256.40000000001</v>
      </c>
      <c r="M33" t="str">
        <f t="shared" si="0"/>
        <v>หนึ่งแสนสองร้อยห้าสิบหกบาทสี่สิบสตางค์</v>
      </c>
      <c r="N33" t="str">
        <f>IF(Table2[จำนวน(ชิ้น)] &lt;= 100,"สั่งซื้อ","ไม่ซื้อ")</f>
        <v>สั่งซื้อ</v>
      </c>
    </row>
    <row r="34" spans="1:14">
      <c r="A34" s="7">
        <v>45754</v>
      </c>
      <c r="B34" s="1" t="s">
        <v>10</v>
      </c>
      <c r="C34" s="1" t="s">
        <v>27</v>
      </c>
      <c r="D34" s="1" t="s">
        <v>16</v>
      </c>
      <c r="E34" s="2">
        <v>53</v>
      </c>
      <c r="F34" s="3">
        <v>479.23</v>
      </c>
      <c r="G34" s="4">
        <v>0</v>
      </c>
      <c r="H34" s="3">
        <v>144.80000000000001</v>
      </c>
      <c r="I34" s="4">
        <v>0</v>
      </c>
      <c r="J34" s="8">
        <v>60</v>
      </c>
      <c r="L34">
        <f>Table2[[#This Row],[จำนวน(ชิ้น)]]*Table2[[#This Row],[ราคาต่อหน่วย]]</f>
        <v>25399.190000000002</v>
      </c>
      <c r="M34" t="str">
        <f t="shared" si="0"/>
        <v>สองหมื่นห้าพันสามร้อยเก้าสิบเก้าบาทสิบเก้าสตางค์</v>
      </c>
      <c r="N34" t="str">
        <f>IF(Table2[จำนวน(ชิ้น)] &lt;= 100,"สั่งซื้อ","ไม่ซื้อ")</f>
        <v>สั่งซื้อ</v>
      </c>
    </row>
    <row r="35" spans="1:14">
      <c r="A35" s="7">
        <v>45757</v>
      </c>
      <c r="B35" s="1" t="s">
        <v>24</v>
      </c>
      <c r="C35" s="1" t="s">
        <v>30</v>
      </c>
      <c r="D35" s="1" t="s">
        <v>12</v>
      </c>
      <c r="E35" s="2">
        <v>154</v>
      </c>
      <c r="F35" s="3">
        <v>740.34</v>
      </c>
      <c r="G35" s="4">
        <v>15</v>
      </c>
      <c r="H35" s="3">
        <v>132.78</v>
      </c>
      <c r="I35" s="4">
        <v>0</v>
      </c>
      <c r="J35" s="8">
        <v>45</v>
      </c>
      <c r="L35">
        <f>Table2[[#This Row],[จำนวน(ชิ้น)]]*Table2[[#This Row],[ราคาต่อหน่วย]]</f>
        <v>114012.36</v>
      </c>
      <c r="M35" t="str">
        <f t="shared" si="0"/>
        <v>หนึ่งแสนหนึ่งหมื่นสี่พันสิบสองบาทสามสิบหกสตางค์</v>
      </c>
      <c r="N35" t="str">
        <f>IF(Table2[จำนวน(ชิ้น)] &lt;= 100,"สั่งซื้อ","ไม่ซื้อ")</f>
        <v>ไม่ซื้อ</v>
      </c>
    </row>
    <row r="36" spans="1:14">
      <c r="A36" s="7">
        <v>45760</v>
      </c>
      <c r="B36" s="1" t="s">
        <v>20</v>
      </c>
      <c r="C36" s="1" t="s">
        <v>29</v>
      </c>
      <c r="D36" s="1" t="s">
        <v>12</v>
      </c>
      <c r="E36" s="2">
        <v>157</v>
      </c>
      <c r="F36" s="3">
        <v>147.54</v>
      </c>
      <c r="G36" s="4">
        <v>15</v>
      </c>
      <c r="H36" s="3">
        <v>58.8</v>
      </c>
      <c r="I36" s="4">
        <v>0</v>
      </c>
      <c r="J36" s="8">
        <v>45</v>
      </c>
      <c r="L36">
        <f>Table2[[#This Row],[จำนวน(ชิ้น)]]*Table2[[#This Row],[ราคาต่อหน่วย]]</f>
        <v>23163.78</v>
      </c>
      <c r="M36" t="str">
        <f t="shared" si="0"/>
        <v>สองหมื่นสามพันหนึ่งร้อยหกสิบสามบาทเจ็ดสิบแปดสตางค์</v>
      </c>
      <c r="N36" t="str">
        <f>IF(Table2[จำนวน(ชิ้น)] &lt;= 100,"สั่งซื้อ","ไม่ซื้อ")</f>
        <v>ไม่ซื้อ</v>
      </c>
    </row>
    <row r="37" spans="1:14">
      <c r="A37" s="7">
        <v>45763</v>
      </c>
      <c r="B37" s="1" t="s">
        <v>14</v>
      </c>
      <c r="C37" s="1" t="s">
        <v>30</v>
      </c>
      <c r="D37" s="1" t="s">
        <v>13</v>
      </c>
      <c r="E37" s="2">
        <v>25</v>
      </c>
      <c r="F37" s="3">
        <v>656.88</v>
      </c>
      <c r="G37" s="4">
        <v>10</v>
      </c>
      <c r="H37" s="3">
        <v>141.31</v>
      </c>
      <c r="I37" s="4">
        <v>7</v>
      </c>
      <c r="J37" s="8">
        <v>15</v>
      </c>
      <c r="L37">
        <f>Table2[[#This Row],[จำนวน(ชิ้น)]]*Table2[[#This Row],[ราคาต่อหน่วย]]</f>
        <v>16422</v>
      </c>
      <c r="M37" t="str">
        <f t="shared" si="0"/>
        <v>หนึ่งหมื่นหกพันสี่ร้อยยี่สิบสองบาทถ้วน</v>
      </c>
      <c r="N37" t="str">
        <f>IF(Table2[จำนวน(ชิ้น)] &lt;= 100,"สั่งซื้อ","ไม่ซื้อ")</f>
        <v>สั่งซื้อ</v>
      </c>
    </row>
    <row r="38" spans="1:14">
      <c r="A38" s="7">
        <v>45766</v>
      </c>
      <c r="B38" s="1" t="s">
        <v>14</v>
      </c>
      <c r="C38" s="1" t="s">
        <v>18</v>
      </c>
      <c r="D38" s="1" t="s">
        <v>16</v>
      </c>
      <c r="E38" s="2">
        <v>72</v>
      </c>
      <c r="F38" s="3">
        <v>622.89</v>
      </c>
      <c r="G38" s="4">
        <v>12.5</v>
      </c>
      <c r="H38" s="3">
        <v>161.38</v>
      </c>
      <c r="I38" s="4">
        <v>7</v>
      </c>
      <c r="J38" s="8">
        <v>15</v>
      </c>
      <c r="L38">
        <f>Table2[[#This Row],[จำนวน(ชิ้น)]]*Table2[[#This Row],[ราคาต่อหน่วย]]</f>
        <v>44848.08</v>
      </c>
      <c r="M38" t="str">
        <f t="shared" si="0"/>
        <v>สี่หมื่นสี่พันแปดร้อยสี่สิบแปดบาทแปดสตางค์</v>
      </c>
      <c r="N38" t="str">
        <f>IF(Table2[จำนวน(ชิ้น)] &lt;= 100,"สั่งซื้อ","ไม่ซื้อ")</f>
        <v>สั่งซื้อ</v>
      </c>
    </row>
    <row r="39" spans="1:14">
      <c r="A39" s="7">
        <v>45769</v>
      </c>
      <c r="B39" s="1" t="s">
        <v>20</v>
      </c>
      <c r="C39" s="1" t="s">
        <v>30</v>
      </c>
      <c r="D39" s="1" t="s">
        <v>23</v>
      </c>
      <c r="E39" s="2">
        <v>164</v>
      </c>
      <c r="F39" s="3">
        <v>1496.76</v>
      </c>
      <c r="G39" s="4">
        <v>0</v>
      </c>
      <c r="H39" s="3">
        <v>18.32</v>
      </c>
      <c r="I39" s="4">
        <v>0</v>
      </c>
      <c r="J39" s="8">
        <v>45</v>
      </c>
      <c r="L39">
        <f>Table2[[#This Row],[จำนวน(ชิ้น)]]*Table2[[#This Row],[ราคาต่อหน่วย]]</f>
        <v>245468.63999999998</v>
      </c>
      <c r="M39" t="str">
        <f t="shared" si="0"/>
        <v>สองแสนสี่หมื่นห้าพันสี่ร้อยหกสิบแปดบาทหกสิบสี่สตางค์</v>
      </c>
      <c r="N39" t="str">
        <f>IF(Table2[จำนวน(ชิ้น)] &lt;= 100,"สั่งซื้อ","ไม่ซื้อ")</f>
        <v>ไม่ซื้อ</v>
      </c>
    </row>
    <row r="40" spans="1:14">
      <c r="A40" s="7">
        <v>45772</v>
      </c>
      <c r="B40" s="1" t="s">
        <v>24</v>
      </c>
      <c r="C40" s="1" t="s">
        <v>29</v>
      </c>
      <c r="D40" s="1" t="s">
        <v>19</v>
      </c>
      <c r="E40" s="2">
        <v>230</v>
      </c>
      <c r="F40" s="3">
        <v>148.75</v>
      </c>
      <c r="G40" s="4">
        <v>2.5</v>
      </c>
      <c r="H40" s="3">
        <v>92.38</v>
      </c>
      <c r="I40" s="4">
        <v>0</v>
      </c>
      <c r="J40" s="8">
        <v>30</v>
      </c>
      <c r="L40">
        <f>Table2[[#This Row],[จำนวน(ชิ้น)]]*Table2[[#This Row],[ราคาต่อหน่วย]]</f>
        <v>34212.5</v>
      </c>
      <c r="M40" t="str">
        <f t="shared" si="0"/>
        <v>สามหมื่นสี่พันสองร้อยสิบสองบาทห้าสิบสตางค์</v>
      </c>
      <c r="N40" t="str">
        <f>IF(Table2[จำนวน(ชิ้น)] &lt;= 100,"สั่งซื้อ","ไม่ซื้อ")</f>
        <v>ไม่ซื้อ</v>
      </c>
    </row>
    <row r="41" spans="1:14">
      <c r="A41" s="7">
        <v>45775</v>
      </c>
      <c r="B41" s="1" t="s">
        <v>28</v>
      </c>
      <c r="C41" s="1" t="s">
        <v>22</v>
      </c>
      <c r="D41" s="1" t="s">
        <v>13</v>
      </c>
      <c r="E41" s="2">
        <v>211</v>
      </c>
      <c r="F41" s="3">
        <v>997.27</v>
      </c>
      <c r="G41" s="4">
        <v>0</v>
      </c>
      <c r="H41" s="3">
        <v>166.97</v>
      </c>
      <c r="I41" s="4">
        <v>7</v>
      </c>
      <c r="J41" s="8">
        <v>60</v>
      </c>
      <c r="L41">
        <f>Table2[[#This Row],[จำนวน(ชิ้น)]]*Table2[[#This Row],[ราคาต่อหน่วย]]</f>
        <v>210423.97</v>
      </c>
      <c r="M41" t="str">
        <f t="shared" si="0"/>
        <v>สองแสนหนึ่งหมื่นสี่ร้อยยี่สิบสามบาทเก้าสิบเจ็ดสตางค์</v>
      </c>
      <c r="N41" t="str">
        <f>IF(Table2[จำนวน(ชิ้น)] &lt;= 100,"สั่งซื้อ","ไม่ซื้อ")</f>
        <v>ไม่ซื้อ</v>
      </c>
    </row>
    <row r="42" spans="1:14">
      <c r="A42" s="7">
        <v>45778</v>
      </c>
      <c r="B42" s="1" t="s">
        <v>20</v>
      </c>
      <c r="C42" s="1" t="s">
        <v>29</v>
      </c>
      <c r="D42" s="1" t="s">
        <v>19</v>
      </c>
      <c r="E42" s="2">
        <v>34</v>
      </c>
      <c r="F42" s="3">
        <v>1339.08</v>
      </c>
      <c r="G42" s="4">
        <v>12.5</v>
      </c>
      <c r="H42" s="3">
        <v>138.31</v>
      </c>
      <c r="I42" s="4">
        <v>7</v>
      </c>
      <c r="J42" s="8">
        <v>15</v>
      </c>
      <c r="L42">
        <f>Table2[[#This Row],[จำนวน(ชิ้น)]]*Table2[[#This Row],[ราคาต่อหน่วย]]</f>
        <v>45528.72</v>
      </c>
      <c r="M42" t="str">
        <f t="shared" si="0"/>
        <v>สี่หมื่นห้าพันห้าร้อยยี่สิบแปดบาทเจ็ดสิบสองสตางค์</v>
      </c>
      <c r="N42" t="str">
        <f>IF(Table2[จำนวน(ชิ้น)] &lt;= 100,"สั่งซื้อ","ไม่ซื้อ")</f>
        <v>สั่งซื้อ</v>
      </c>
    </row>
    <row r="43" spans="1:14">
      <c r="A43" s="7">
        <v>45781</v>
      </c>
      <c r="B43" s="1" t="s">
        <v>28</v>
      </c>
      <c r="C43" s="1" t="s">
        <v>25</v>
      </c>
      <c r="D43" s="1" t="s">
        <v>26</v>
      </c>
      <c r="E43" s="2">
        <v>92</v>
      </c>
      <c r="F43" s="3">
        <v>344.22</v>
      </c>
      <c r="G43" s="4">
        <v>12.5</v>
      </c>
      <c r="H43" s="3">
        <v>213.23</v>
      </c>
      <c r="I43" s="4">
        <v>7</v>
      </c>
      <c r="J43" s="8">
        <v>15</v>
      </c>
      <c r="L43">
        <f>Table2[[#This Row],[จำนวน(ชิ้น)]]*Table2[[#This Row],[ราคาต่อหน่วย]]</f>
        <v>31668.240000000002</v>
      </c>
      <c r="M43" t="str">
        <f t="shared" si="0"/>
        <v>สามหมื่นหนึ่งพันหกร้อยหกสิบแปดบาทยี่สิบสี่สตางค์</v>
      </c>
      <c r="N43" t="str">
        <f>IF(Table2[จำนวน(ชิ้น)] &lt;= 100,"สั่งซื้อ","ไม่ซื้อ")</f>
        <v>สั่งซื้อ</v>
      </c>
    </row>
    <row r="44" spans="1:14">
      <c r="A44" s="7">
        <v>45784</v>
      </c>
      <c r="B44" s="1" t="s">
        <v>20</v>
      </c>
      <c r="C44" s="1" t="s">
        <v>11</v>
      </c>
      <c r="D44" s="1" t="s">
        <v>26</v>
      </c>
      <c r="E44" s="2">
        <v>113</v>
      </c>
      <c r="F44" s="3">
        <v>1251.55</v>
      </c>
      <c r="G44" s="4">
        <v>0</v>
      </c>
      <c r="H44" s="3">
        <v>0.89</v>
      </c>
      <c r="I44" s="4">
        <v>0</v>
      </c>
      <c r="J44" s="8">
        <v>60</v>
      </c>
      <c r="L44">
        <f>Table2[[#This Row],[จำนวน(ชิ้น)]]*Table2[[#This Row],[ราคาต่อหน่วย]]</f>
        <v>141425.15</v>
      </c>
      <c r="M44" t="str">
        <f t="shared" si="0"/>
        <v>หนึ่งแสนสี่หมื่นหนึ่งพันสี่ร้อยยี่สิบห้าบาทสิบห้าสตางค์</v>
      </c>
      <c r="N44" t="str">
        <f>IF(Table2[จำนวน(ชิ้น)] &lt;= 100,"สั่งซื้อ","ไม่ซื้อ")</f>
        <v>ไม่ซื้อ</v>
      </c>
    </row>
    <row r="45" spans="1:14">
      <c r="A45" s="7">
        <v>45787</v>
      </c>
      <c r="B45" s="1" t="s">
        <v>24</v>
      </c>
      <c r="C45" s="1" t="s">
        <v>29</v>
      </c>
      <c r="D45" s="1" t="s">
        <v>26</v>
      </c>
      <c r="E45" s="2">
        <v>118</v>
      </c>
      <c r="F45" s="3">
        <v>848.94</v>
      </c>
      <c r="G45" s="4">
        <v>7.5</v>
      </c>
      <c r="H45" s="3">
        <v>140.22999999999999</v>
      </c>
      <c r="I45" s="4">
        <v>0</v>
      </c>
      <c r="J45" s="8">
        <v>0</v>
      </c>
      <c r="L45">
        <f>Table2[[#This Row],[จำนวน(ชิ้น)]]*Table2[[#This Row],[ราคาต่อหน่วย]]</f>
        <v>100174.92000000001</v>
      </c>
      <c r="M45" t="str">
        <f t="shared" si="0"/>
        <v>หนึ่งแสนหนึ่งร้อยเจ็ดสิบสี่บาทเก้าสิบสองสตางค์</v>
      </c>
      <c r="N45" t="str">
        <f>IF(Table2[จำนวน(ชิ้น)] &lt;= 100,"สั่งซื้อ","ไม่ซื้อ")</f>
        <v>ไม่ซื้อ</v>
      </c>
    </row>
    <row r="46" spans="1:14">
      <c r="A46" s="7">
        <v>45790</v>
      </c>
      <c r="B46" s="1" t="s">
        <v>10</v>
      </c>
      <c r="C46" s="1" t="s">
        <v>29</v>
      </c>
      <c r="D46" s="1" t="s">
        <v>13</v>
      </c>
      <c r="E46" s="2">
        <v>14</v>
      </c>
      <c r="F46" s="3">
        <v>1259.1600000000001</v>
      </c>
      <c r="G46" s="4">
        <v>10</v>
      </c>
      <c r="H46" s="3">
        <v>138.13</v>
      </c>
      <c r="I46" s="4">
        <v>7</v>
      </c>
      <c r="J46" s="8">
        <v>7</v>
      </c>
      <c r="L46">
        <f>Table2[[#This Row],[จำนวน(ชิ้น)]]*Table2[[#This Row],[ราคาต่อหน่วย]]</f>
        <v>17628.240000000002</v>
      </c>
      <c r="M46" t="str">
        <f t="shared" si="0"/>
        <v>หนึ่งหมื่นเจ็ดพันหกร้อยยี่สิบแปดบาทยี่สิบสี่สตางค์</v>
      </c>
      <c r="N46" t="str">
        <f>IF(Table2[จำนวน(ชิ้น)] &lt;= 100,"สั่งซื้อ","ไม่ซื้อ")</f>
        <v>สั่งซื้อ</v>
      </c>
    </row>
    <row r="47" spans="1:14">
      <c r="A47" s="7">
        <v>45793</v>
      </c>
      <c r="B47" s="1" t="s">
        <v>20</v>
      </c>
      <c r="C47" s="1" t="s">
        <v>22</v>
      </c>
      <c r="D47" s="1" t="s">
        <v>19</v>
      </c>
      <c r="E47" s="2">
        <v>235</v>
      </c>
      <c r="F47" s="3">
        <v>1401.98</v>
      </c>
      <c r="G47" s="4">
        <v>15</v>
      </c>
      <c r="H47" s="3">
        <v>9.9700000000000006</v>
      </c>
      <c r="I47" s="4">
        <v>7</v>
      </c>
      <c r="J47" s="8">
        <v>7</v>
      </c>
      <c r="L47">
        <f>Table2[[#This Row],[จำนวน(ชิ้น)]]*Table2[[#This Row],[ราคาต่อหน่วย]]</f>
        <v>329465.3</v>
      </c>
      <c r="M47" t="str">
        <f t="shared" si="0"/>
        <v>สามแสนสองหมื่นเก้าพันสี่ร้อยหกสิบห้าบาทสามสิบสตางค์</v>
      </c>
      <c r="N47" t="str">
        <f>IF(Table2[จำนวน(ชิ้น)] &lt;= 100,"สั่งซื้อ","ไม่ซื้อ")</f>
        <v>ไม่ซื้อ</v>
      </c>
    </row>
    <row r="48" spans="1:14">
      <c r="A48" s="7">
        <v>45796</v>
      </c>
      <c r="B48" s="1" t="s">
        <v>10</v>
      </c>
      <c r="C48" s="1" t="s">
        <v>25</v>
      </c>
      <c r="D48" s="1" t="s">
        <v>26</v>
      </c>
      <c r="E48" s="2">
        <v>31</v>
      </c>
      <c r="F48" s="3">
        <v>561.83000000000004</v>
      </c>
      <c r="G48" s="4">
        <v>10</v>
      </c>
      <c r="H48" s="3">
        <v>221.03</v>
      </c>
      <c r="I48" s="4">
        <v>7</v>
      </c>
      <c r="J48" s="8">
        <v>45</v>
      </c>
      <c r="L48">
        <f>Table2[[#This Row],[จำนวน(ชิ้น)]]*Table2[[#This Row],[ราคาต่อหน่วย]]</f>
        <v>17416.73</v>
      </c>
      <c r="M48" t="str">
        <f t="shared" si="0"/>
        <v>หนึ่งหมื่นเจ็ดพันสี่ร้อยสิบหกบาทเจ็ดสิบสามสตางค์</v>
      </c>
      <c r="N48" t="str">
        <f>IF(Table2[จำนวน(ชิ้น)] &lt;= 100,"สั่งซื้อ","ไม่ซื้อ")</f>
        <v>สั่งซื้อ</v>
      </c>
    </row>
    <row r="49" spans="1:14">
      <c r="A49" s="7">
        <v>45799</v>
      </c>
      <c r="B49" s="1" t="s">
        <v>10</v>
      </c>
      <c r="C49" s="1" t="s">
        <v>29</v>
      </c>
      <c r="D49" s="1" t="s">
        <v>16</v>
      </c>
      <c r="E49" s="2">
        <v>226</v>
      </c>
      <c r="F49" s="3">
        <v>284.63</v>
      </c>
      <c r="G49" s="4">
        <v>15</v>
      </c>
      <c r="H49" s="3">
        <v>202.69</v>
      </c>
      <c r="I49" s="4">
        <v>7</v>
      </c>
      <c r="J49" s="8">
        <v>0</v>
      </c>
      <c r="L49">
        <f>Table2[[#This Row],[จำนวน(ชิ้น)]]*Table2[[#This Row],[ราคาต่อหน่วย]]</f>
        <v>64326.38</v>
      </c>
      <c r="M49" t="str">
        <f t="shared" si="0"/>
        <v>หกหมื่นสี่พันสามร้อยยี่สิบหกบาทสามสิบแปดสตางค์</v>
      </c>
      <c r="N49" t="str">
        <f>IF(Table2[จำนวน(ชิ้น)] &lt;= 100,"สั่งซื้อ","ไม่ซื้อ")</f>
        <v>ไม่ซื้อ</v>
      </c>
    </row>
    <row r="50" spans="1:14">
      <c r="A50" s="7">
        <v>45802</v>
      </c>
      <c r="B50" s="1" t="s">
        <v>14</v>
      </c>
      <c r="C50" s="1" t="s">
        <v>18</v>
      </c>
      <c r="D50" s="1" t="s">
        <v>21</v>
      </c>
      <c r="E50" s="2">
        <v>243</v>
      </c>
      <c r="F50" s="3">
        <v>645.98</v>
      </c>
      <c r="G50" s="4">
        <v>12.5</v>
      </c>
      <c r="H50" s="3">
        <v>216.02</v>
      </c>
      <c r="I50" s="4">
        <v>0</v>
      </c>
      <c r="J50" s="8">
        <v>15</v>
      </c>
      <c r="L50">
        <f>Table2[[#This Row],[จำนวน(ชิ้น)]]*Table2[[#This Row],[ราคาต่อหน่วย]]</f>
        <v>156973.14000000001</v>
      </c>
      <c r="M50" t="str">
        <f t="shared" si="0"/>
        <v>หนึ่งแสนห้าหมื่นหกพันเก้าร้อยเจ็ดสิบสามบาทสิบสี่สตางค์</v>
      </c>
      <c r="N50" t="str">
        <f>IF(Table2[จำนวน(ชิ้น)] &lt;= 100,"สั่งซื้อ","ไม่ซื้อ")</f>
        <v>ไม่ซื้อ</v>
      </c>
    </row>
    <row r="51" spans="1:14">
      <c r="A51" s="7">
        <v>45805</v>
      </c>
      <c r="B51" s="1" t="s">
        <v>14</v>
      </c>
      <c r="C51" s="1" t="s">
        <v>11</v>
      </c>
      <c r="D51" s="1" t="s">
        <v>23</v>
      </c>
      <c r="E51" s="2">
        <v>228</v>
      </c>
      <c r="F51" s="3">
        <v>105.15</v>
      </c>
      <c r="G51" s="4">
        <v>7.5</v>
      </c>
      <c r="H51" s="3">
        <v>55.61</v>
      </c>
      <c r="I51" s="4">
        <v>7</v>
      </c>
      <c r="J51" s="8">
        <v>15</v>
      </c>
      <c r="L51">
        <f>Table2[[#This Row],[จำนวน(ชิ้น)]]*Table2[[#This Row],[ราคาต่อหน่วย]]</f>
        <v>23974.2</v>
      </c>
      <c r="M51" t="str">
        <f t="shared" si="0"/>
        <v>สองหมื่นสามพันเก้าร้อยเจ็ดสิบสี่บาทยี่สิบสตางค์</v>
      </c>
      <c r="N51" t="str">
        <f>IF(Table2[จำนวน(ชิ้น)] &lt;= 100,"สั่งซื้อ","ไม่ซื้อ")</f>
        <v>ไม่ซื้อ</v>
      </c>
    </row>
    <row r="52" spans="1:14">
      <c r="A52" s="7">
        <v>45808</v>
      </c>
      <c r="B52" s="1" t="s">
        <v>24</v>
      </c>
      <c r="C52" s="1" t="s">
        <v>25</v>
      </c>
      <c r="D52" s="1" t="s">
        <v>16</v>
      </c>
      <c r="E52" s="2">
        <v>11</v>
      </c>
      <c r="F52" s="3">
        <v>1006.05</v>
      </c>
      <c r="G52" s="4">
        <v>7.5</v>
      </c>
      <c r="H52" s="3">
        <v>82.07</v>
      </c>
      <c r="I52" s="4">
        <v>0</v>
      </c>
      <c r="J52" s="8">
        <v>15</v>
      </c>
      <c r="L52">
        <f>Table2[[#This Row],[จำนวน(ชิ้น)]]*Table2[[#This Row],[ราคาต่อหน่วย]]</f>
        <v>11066.55</v>
      </c>
      <c r="M52" t="str">
        <f t="shared" si="0"/>
        <v>หนึ่งหมื่นหนึ่งพันหกสิบหกบาทห้าสิบห้าสตางค์</v>
      </c>
      <c r="N52" t="str">
        <f>IF(Table2[จำนวน(ชิ้น)] &lt;= 100,"สั่งซื้อ","ไม่ซื้อ")</f>
        <v>สั่งซื้อ</v>
      </c>
    </row>
    <row r="53" spans="1:14">
      <c r="A53" s="7">
        <v>45811</v>
      </c>
      <c r="B53" s="1" t="s">
        <v>24</v>
      </c>
      <c r="C53" s="1" t="s">
        <v>15</v>
      </c>
      <c r="D53" s="1" t="s">
        <v>26</v>
      </c>
      <c r="E53" s="2">
        <v>220</v>
      </c>
      <c r="F53" s="3">
        <v>826.51</v>
      </c>
      <c r="G53" s="4">
        <v>0</v>
      </c>
      <c r="H53" s="3">
        <v>28.84</v>
      </c>
      <c r="I53" s="4">
        <v>7</v>
      </c>
      <c r="J53" s="8">
        <v>7</v>
      </c>
      <c r="L53">
        <f>Table2[[#This Row],[จำนวน(ชิ้น)]]*Table2[[#This Row],[ราคาต่อหน่วย]]</f>
        <v>181832.2</v>
      </c>
      <c r="M53" t="str">
        <f t="shared" si="0"/>
        <v>หนึ่งแสนแปดหมื่นหนึ่งพันแปดร้อยสามสิบสองบาทยี่สิบสตางค์</v>
      </c>
      <c r="N53" t="str">
        <f>IF(Table2[จำนวน(ชิ้น)] &lt;= 100,"สั่งซื้อ","ไม่ซื้อ")</f>
        <v>ไม่ซื้อ</v>
      </c>
    </row>
    <row r="54" spans="1:14">
      <c r="A54" s="7">
        <v>45814</v>
      </c>
      <c r="B54" s="1" t="s">
        <v>28</v>
      </c>
      <c r="C54" s="1" t="s">
        <v>22</v>
      </c>
      <c r="D54" s="1" t="s">
        <v>12</v>
      </c>
      <c r="E54" s="2">
        <v>32</v>
      </c>
      <c r="F54" s="3">
        <v>914.03</v>
      </c>
      <c r="G54" s="4">
        <v>5</v>
      </c>
      <c r="H54" s="3">
        <v>182.14</v>
      </c>
      <c r="I54" s="4">
        <v>7</v>
      </c>
      <c r="J54" s="8">
        <v>30</v>
      </c>
      <c r="L54">
        <f>Table2[[#This Row],[จำนวน(ชิ้น)]]*Table2[[#This Row],[ราคาต่อหน่วย]]</f>
        <v>29248.959999999999</v>
      </c>
      <c r="M54" t="str">
        <f t="shared" si="0"/>
        <v>สองหมื่นเก้าพันสองร้อยสี่สิบแปดบาทเก้าสิบหกสตางค์</v>
      </c>
      <c r="N54" t="str">
        <f>IF(Table2[จำนวน(ชิ้น)] &lt;= 100,"สั่งซื้อ","ไม่ซื้อ")</f>
        <v>สั่งซื้อ</v>
      </c>
    </row>
    <row r="55" spans="1:14">
      <c r="A55" s="7">
        <v>45817</v>
      </c>
      <c r="B55" s="1" t="s">
        <v>28</v>
      </c>
      <c r="C55" s="1" t="s">
        <v>11</v>
      </c>
      <c r="D55" s="1" t="s">
        <v>23</v>
      </c>
      <c r="E55" s="2">
        <v>235</v>
      </c>
      <c r="F55" s="3">
        <v>885.05</v>
      </c>
      <c r="G55" s="4">
        <v>5</v>
      </c>
      <c r="H55" s="3">
        <v>11.1</v>
      </c>
      <c r="I55" s="4">
        <v>7</v>
      </c>
      <c r="J55" s="8">
        <v>0</v>
      </c>
      <c r="L55">
        <f>Table2[[#This Row],[จำนวน(ชิ้น)]]*Table2[[#This Row],[ราคาต่อหน่วย]]</f>
        <v>207986.75</v>
      </c>
      <c r="M55" t="str">
        <f t="shared" si="0"/>
        <v>สองแสนเจ็ดพันเก้าร้อยแปดสิบหกบาทเจ็ดสิบห้าสตางค์</v>
      </c>
      <c r="N55" t="str">
        <f>IF(Table2[จำนวน(ชิ้น)] &lt;= 100,"สั่งซื้อ","ไม่ซื้อ")</f>
        <v>ไม่ซื้อ</v>
      </c>
    </row>
    <row r="56" spans="1:14">
      <c r="A56" s="7">
        <v>45820</v>
      </c>
      <c r="B56" s="1" t="s">
        <v>28</v>
      </c>
      <c r="C56" s="1" t="s">
        <v>25</v>
      </c>
      <c r="D56" s="1" t="s">
        <v>19</v>
      </c>
      <c r="E56" s="2">
        <v>115</v>
      </c>
      <c r="F56" s="3">
        <v>150.46</v>
      </c>
      <c r="G56" s="4">
        <v>12.5</v>
      </c>
      <c r="H56" s="3">
        <v>230.19</v>
      </c>
      <c r="I56" s="4">
        <v>7</v>
      </c>
      <c r="J56" s="8">
        <v>60</v>
      </c>
      <c r="L56">
        <f>Table2[[#This Row],[จำนวน(ชิ้น)]]*Table2[[#This Row],[ราคาต่อหน่วย]]</f>
        <v>17302.900000000001</v>
      </c>
      <c r="M56" t="str">
        <f t="shared" si="0"/>
        <v>หนึ่งหมื่นเจ็ดพันสามร้อยสองบาทเก้าสิบสตางค์</v>
      </c>
      <c r="N56" t="str">
        <f>IF(Table2[จำนวน(ชิ้น)] &lt;= 100,"สั่งซื้อ","ไม่ซื้อ")</f>
        <v>ไม่ซื้อ</v>
      </c>
    </row>
    <row r="57" spans="1:14">
      <c r="A57" s="7">
        <v>45823</v>
      </c>
      <c r="B57" s="1" t="s">
        <v>20</v>
      </c>
      <c r="C57" s="1" t="s">
        <v>22</v>
      </c>
      <c r="D57" s="1" t="s">
        <v>13</v>
      </c>
      <c r="E57" s="2">
        <v>84</v>
      </c>
      <c r="F57" s="3">
        <v>1015.99</v>
      </c>
      <c r="G57" s="4">
        <v>5</v>
      </c>
      <c r="H57" s="3">
        <v>100.6</v>
      </c>
      <c r="I57" s="4">
        <v>7</v>
      </c>
      <c r="J57" s="8">
        <v>45</v>
      </c>
      <c r="L57">
        <f>Table2[[#This Row],[จำนวน(ชิ้น)]]*Table2[[#This Row],[ราคาต่อหน่วย]]</f>
        <v>85343.16</v>
      </c>
      <c r="M57" t="str">
        <f t="shared" si="0"/>
        <v>แปดหมื่นห้าพันสามร้อยสี่สิบสามบาทสิบหกสตางค์</v>
      </c>
      <c r="N57" t="str">
        <f>IF(Table2[จำนวน(ชิ้น)] &lt;= 100,"สั่งซื้อ","ไม่ซื้อ")</f>
        <v>สั่งซื้อ</v>
      </c>
    </row>
    <row r="58" spans="1:14">
      <c r="A58" s="7">
        <v>45826</v>
      </c>
      <c r="B58" s="1" t="s">
        <v>14</v>
      </c>
      <c r="C58" s="1" t="s">
        <v>25</v>
      </c>
      <c r="D58" s="1" t="s">
        <v>23</v>
      </c>
      <c r="E58" s="2">
        <v>175</v>
      </c>
      <c r="F58" s="3">
        <v>1412.53</v>
      </c>
      <c r="G58" s="4">
        <v>12.5</v>
      </c>
      <c r="H58" s="3">
        <v>187.03</v>
      </c>
      <c r="I58" s="4">
        <v>0</v>
      </c>
      <c r="J58" s="8">
        <v>45</v>
      </c>
      <c r="L58">
        <f>Table2[[#This Row],[จำนวน(ชิ้น)]]*Table2[[#This Row],[ราคาต่อหน่วย]]</f>
        <v>247192.75</v>
      </c>
      <c r="M58" t="str">
        <f t="shared" si="0"/>
        <v>สองแสนสี่หมื่นเจ็ดพันหนึ่งร้อยเก้าสิบสองบาทเจ็ดสิบห้าสตางค์</v>
      </c>
      <c r="N58" t="str">
        <f>IF(Table2[จำนวน(ชิ้น)] &lt;= 100,"สั่งซื้อ","ไม่ซื้อ")</f>
        <v>ไม่ซื้อ</v>
      </c>
    </row>
    <row r="59" spans="1:14">
      <c r="A59" s="7">
        <v>45829</v>
      </c>
      <c r="B59" s="1" t="s">
        <v>28</v>
      </c>
      <c r="C59" s="1" t="s">
        <v>22</v>
      </c>
      <c r="D59" s="1" t="s">
        <v>23</v>
      </c>
      <c r="E59" s="2">
        <v>145</v>
      </c>
      <c r="F59" s="3">
        <v>1257.9000000000001</v>
      </c>
      <c r="G59" s="4">
        <v>5</v>
      </c>
      <c r="H59" s="3">
        <v>71.73</v>
      </c>
      <c r="I59" s="4">
        <v>7</v>
      </c>
      <c r="J59" s="8">
        <v>45</v>
      </c>
      <c r="L59">
        <f>Table2[[#This Row],[จำนวน(ชิ้น)]]*Table2[[#This Row],[ราคาต่อหน่วย]]</f>
        <v>182395.5</v>
      </c>
      <c r="M59" t="str">
        <f t="shared" si="0"/>
        <v>หนึ่งแสนแปดหมื่นสองพันสามร้อยเก้าสิบห้าบาทห้าสิบสตางค์</v>
      </c>
      <c r="N59" t="str">
        <f>IF(Table2[จำนวน(ชิ้น)] &lt;= 100,"สั่งซื้อ","ไม่ซื้อ")</f>
        <v>ไม่ซื้อ</v>
      </c>
    </row>
    <row r="60" spans="1:14">
      <c r="A60" s="7">
        <v>45832</v>
      </c>
      <c r="B60" s="1" t="s">
        <v>28</v>
      </c>
      <c r="C60" s="1" t="s">
        <v>18</v>
      </c>
      <c r="D60" s="1" t="s">
        <v>23</v>
      </c>
      <c r="E60" s="2">
        <v>118</v>
      </c>
      <c r="F60" s="3">
        <v>690.13</v>
      </c>
      <c r="G60" s="4">
        <v>2.5</v>
      </c>
      <c r="H60" s="3">
        <v>127.79</v>
      </c>
      <c r="I60" s="4">
        <v>0</v>
      </c>
      <c r="J60" s="8">
        <v>60</v>
      </c>
      <c r="L60">
        <f>Table2[[#This Row],[จำนวน(ชิ้น)]]*Table2[[#This Row],[ราคาต่อหน่วย]]</f>
        <v>81435.34</v>
      </c>
      <c r="M60" t="str">
        <f t="shared" si="0"/>
        <v>แปดหมื่นหนึ่งพันสี่ร้อยสามสิบห้าบาทสามสิบสี่สตางค์</v>
      </c>
      <c r="N60" t="str">
        <f>IF(Table2[จำนวน(ชิ้น)] &lt;= 100,"สั่งซื้อ","ไม่ซื้อ")</f>
        <v>ไม่ซื้อ</v>
      </c>
    </row>
    <row r="61" spans="1:14">
      <c r="A61" s="7">
        <v>45835</v>
      </c>
      <c r="B61" s="1" t="s">
        <v>20</v>
      </c>
      <c r="C61" s="1" t="s">
        <v>22</v>
      </c>
      <c r="D61" s="1" t="s">
        <v>13</v>
      </c>
      <c r="E61" s="2">
        <v>174</v>
      </c>
      <c r="F61" s="3">
        <v>966.76</v>
      </c>
      <c r="G61" s="4">
        <v>5</v>
      </c>
      <c r="H61" s="3">
        <v>23.35</v>
      </c>
      <c r="I61" s="4">
        <v>0</v>
      </c>
      <c r="J61" s="8">
        <v>60</v>
      </c>
      <c r="L61">
        <f>Table2[[#This Row],[จำนวน(ชิ้น)]]*Table2[[#This Row],[ราคาต่อหน่วย]]</f>
        <v>168216.24</v>
      </c>
      <c r="M61" t="str">
        <f t="shared" si="0"/>
        <v>หนึ่งแสนหกหมื่นแปดพันสองร้อยสิบหกบาทยี่สิบสี่สตางค์</v>
      </c>
      <c r="N61" t="str">
        <f>IF(Table2[จำนวน(ชิ้น)] &lt;= 100,"สั่งซื้อ","ไม่ซื้อ")</f>
        <v>ไม่ซื้อ</v>
      </c>
    </row>
    <row r="62" spans="1:14">
      <c r="A62" s="7">
        <v>45838</v>
      </c>
      <c r="B62" s="1" t="s">
        <v>24</v>
      </c>
      <c r="C62" s="1" t="s">
        <v>25</v>
      </c>
      <c r="D62" s="1" t="s">
        <v>21</v>
      </c>
      <c r="E62" s="2">
        <v>55</v>
      </c>
      <c r="F62" s="3">
        <v>262.66000000000003</v>
      </c>
      <c r="G62" s="4">
        <v>0</v>
      </c>
      <c r="H62" s="3">
        <v>61.21</v>
      </c>
      <c r="I62" s="4">
        <v>7</v>
      </c>
      <c r="J62" s="8">
        <v>45</v>
      </c>
      <c r="L62">
        <f>Table2[[#This Row],[จำนวน(ชิ้น)]]*Table2[[#This Row],[ราคาต่อหน่วย]]</f>
        <v>14446.300000000001</v>
      </c>
      <c r="M62" t="str">
        <f t="shared" si="0"/>
        <v>หนึ่งหมื่นสี่พันสี่ร้อยสี่สิบหกบาทสามสิบสตางค์</v>
      </c>
      <c r="N62" t="str">
        <f>IF(Table2[จำนวน(ชิ้น)] &lt;= 100,"สั่งซื้อ","ไม่ซื้อ")</f>
        <v>สั่งซื้อ</v>
      </c>
    </row>
    <row r="63" spans="1:14">
      <c r="A63" s="7">
        <v>45841</v>
      </c>
      <c r="B63" s="1" t="s">
        <v>20</v>
      </c>
      <c r="C63" s="1" t="s">
        <v>27</v>
      </c>
      <c r="D63" s="1" t="s">
        <v>23</v>
      </c>
      <c r="E63" s="2">
        <v>231</v>
      </c>
      <c r="F63" s="3">
        <v>962.16</v>
      </c>
      <c r="G63" s="4">
        <v>2.5</v>
      </c>
      <c r="H63" s="3">
        <v>179.59</v>
      </c>
      <c r="I63" s="4">
        <v>7</v>
      </c>
      <c r="J63" s="8">
        <v>30</v>
      </c>
      <c r="L63">
        <f>Table2[[#This Row],[จำนวน(ชิ้น)]]*Table2[[#This Row],[ราคาต่อหน่วย]]</f>
        <v>222258.96</v>
      </c>
      <c r="M63" t="str">
        <f t="shared" si="0"/>
        <v>สองแสนสองหมื่นสองพันสองร้อยห้าสิบแปดบาทเก้าสิบหกสตางค์</v>
      </c>
      <c r="N63" t="str">
        <f>IF(Table2[จำนวน(ชิ้น)] &lt;= 100,"สั่งซื้อ","ไม่ซื้อ")</f>
        <v>ไม่ซื้อ</v>
      </c>
    </row>
    <row r="64" spans="1:14">
      <c r="A64" s="7">
        <v>45844</v>
      </c>
      <c r="B64" s="1" t="s">
        <v>17</v>
      </c>
      <c r="C64" s="1" t="s">
        <v>25</v>
      </c>
      <c r="D64" s="1" t="s">
        <v>16</v>
      </c>
      <c r="E64" s="2">
        <v>172</v>
      </c>
      <c r="F64" s="3">
        <v>1046.05</v>
      </c>
      <c r="G64" s="4">
        <v>15</v>
      </c>
      <c r="H64" s="3">
        <v>215.11</v>
      </c>
      <c r="I64" s="4">
        <v>0</v>
      </c>
      <c r="J64" s="8">
        <v>30</v>
      </c>
      <c r="L64">
        <f>Table2[[#This Row],[จำนวน(ชิ้น)]]*Table2[[#This Row],[ราคาต่อหน่วย]]</f>
        <v>179920.6</v>
      </c>
      <c r="M64" t="str">
        <f t="shared" si="0"/>
        <v>หนึ่งแสนเจ็ดหมื่นเก้าพันเก้าร้อยยี่สิบบาทหกสิบสตางค์</v>
      </c>
      <c r="N64" t="str">
        <f>IF(Table2[จำนวน(ชิ้น)] &lt;= 100,"สั่งซื้อ","ไม่ซื้อ")</f>
        <v>ไม่ซื้อ</v>
      </c>
    </row>
    <row r="65" spans="1:14">
      <c r="A65" s="7">
        <v>45847</v>
      </c>
      <c r="B65" s="1" t="s">
        <v>14</v>
      </c>
      <c r="C65" s="1" t="s">
        <v>29</v>
      </c>
      <c r="D65" s="1" t="s">
        <v>21</v>
      </c>
      <c r="E65" s="2">
        <v>250</v>
      </c>
      <c r="F65" s="3">
        <v>1058.07</v>
      </c>
      <c r="G65" s="4">
        <v>7.5</v>
      </c>
      <c r="H65" s="3">
        <v>12.55</v>
      </c>
      <c r="I65" s="4">
        <v>0</v>
      </c>
      <c r="J65" s="8">
        <v>0</v>
      </c>
      <c r="L65">
        <f>Table2[[#This Row],[จำนวน(ชิ้น)]]*Table2[[#This Row],[ราคาต่อหน่วย]]</f>
        <v>264517.5</v>
      </c>
      <c r="M65" t="str">
        <f t="shared" si="0"/>
        <v>สองแสนหกหมื่นสี่พันห้าร้อยสิบเจ็ดบาทห้าสิบสตางค์</v>
      </c>
      <c r="N65" t="str">
        <f>IF(Table2[จำนวน(ชิ้น)] &lt;= 100,"สั่งซื้อ","ไม่ซื้อ")</f>
        <v>ไม่ซื้อ</v>
      </c>
    </row>
    <row r="66" spans="1:14">
      <c r="A66" s="7">
        <v>45850</v>
      </c>
      <c r="B66" s="1" t="s">
        <v>17</v>
      </c>
      <c r="C66" s="1" t="s">
        <v>29</v>
      </c>
      <c r="D66" s="1" t="s">
        <v>21</v>
      </c>
      <c r="E66" s="2">
        <v>123</v>
      </c>
      <c r="F66" s="3">
        <v>1016.99</v>
      </c>
      <c r="G66" s="4">
        <v>10</v>
      </c>
      <c r="H66" s="3">
        <v>148.86000000000001</v>
      </c>
      <c r="I66" s="4">
        <v>7</v>
      </c>
      <c r="J66" s="8">
        <v>45</v>
      </c>
      <c r="L66">
        <f>Table2[[#This Row],[จำนวน(ชิ้น)]]*Table2[[#This Row],[ราคาต่อหน่วย]]</f>
        <v>125089.77</v>
      </c>
      <c r="M66" t="str">
        <f t="shared" si="0"/>
        <v>หนึ่งแสนสองหมื่นห้าพันแปดสิบเก้าบาทเจ็ดสิบเจ็ดสตางค์</v>
      </c>
      <c r="N66" t="str">
        <f>IF(Table2[จำนวน(ชิ้น)] &lt;= 100,"สั่งซื้อ","ไม่ซื้อ")</f>
        <v>ไม่ซื้อ</v>
      </c>
    </row>
    <row r="67" spans="1:14">
      <c r="A67" s="7">
        <v>45853</v>
      </c>
      <c r="B67" s="1" t="s">
        <v>10</v>
      </c>
      <c r="C67" s="1" t="s">
        <v>15</v>
      </c>
      <c r="D67" s="1" t="s">
        <v>21</v>
      </c>
      <c r="E67" s="2">
        <v>237</v>
      </c>
      <c r="F67" s="3">
        <v>843.41</v>
      </c>
      <c r="G67" s="4">
        <v>2.5</v>
      </c>
      <c r="H67" s="3">
        <v>185.91</v>
      </c>
      <c r="I67" s="4">
        <v>7</v>
      </c>
      <c r="J67" s="8">
        <v>30</v>
      </c>
      <c r="L67">
        <f>Table2[[#This Row],[จำนวน(ชิ้น)]]*Table2[[#This Row],[ราคาต่อหน่วย]]</f>
        <v>199888.16999999998</v>
      </c>
      <c r="M67" t="str">
        <f t="shared" ref="M67:M120" si="1">BAHTTEXT(L67)</f>
        <v>หนึ่งแสนเก้าหมื่นเก้าพันแปดร้อยแปดสิบแปดบาทสิบเจ็ดสตางค์</v>
      </c>
      <c r="N67" t="str">
        <f>IF(Table2[จำนวน(ชิ้น)] &lt;= 100,"สั่งซื้อ","ไม่ซื้อ")</f>
        <v>ไม่ซื้อ</v>
      </c>
    </row>
    <row r="68" spans="1:14">
      <c r="A68" s="7">
        <v>45856</v>
      </c>
      <c r="B68" s="1" t="s">
        <v>24</v>
      </c>
      <c r="C68" s="1" t="s">
        <v>25</v>
      </c>
      <c r="D68" s="1" t="s">
        <v>21</v>
      </c>
      <c r="E68" s="2">
        <v>168</v>
      </c>
      <c r="F68" s="3">
        <v>451.1</v>
      </c>
      <c r="G68" s="4">
        <v>15</v>
      </c>
      <c r="H68" s="3">
        <v>130.32</v>
      </c>
      <c r="I68" s="4">
        <v>0</v>
      </c>
      <c r="J68" s="8">
        <v>15</v>
      </c>
      <c r="L68">
        <f>Table2[[#This Row],[จำนวน(ชิ้น)]]*Table2[[#This Row],[ราคาต่อหน่วย]]</f>
        <v>75784.800000000003</v>
      </c>
      <c r="M68" t="str">
        <f t="shared" si="1"/>
        <v>เจ็ดหมื่นห้าพันเจ็ดร้อยแปดสิบสี่บาทแปดสิบสตางค์</v>
      </c>
      <c r="N68" t="str">
        <f>IF(Table2[จำนวน(ชิ้น)] &lt;= 100,"สั่งซื้อ","ไม่ซื้อ")</f>
        <v>ไม่ซื้อ</v>
      </c>
    </row>
    <row r="69" spans="1:14">
      <c r="A69" s="7">
        <v>45859</v>
      </c>
      <c r="B69" s="1" t="s">
        <v>17</v>
      </c>
      <c r="C69" s="1" t="s">
        <v>11</v>
      </c>
      <c r="D69" s="1" t="s">
        <v>26</v>
      </c>
      <c r="E69" s="2">
        <v>78</v>
      </c>
      <c r="F69" s="3">
        <v>389.02</v>
      </c>
      <c r="G69" s="4">
        <v>5</v>
      </c>
      <c r="H69" s="3">
        <v>79.930000000000007</v>
      </c>
      <c r="I69" s="4">
        <v>0</v>
      </c>
      <c r="J69" s="8">
        <v>7</v>
      </c>
      <c r="L69">
        <f>Table2[[#This Row],[จำนวน(ชิ้น)]]*Table2[[#This Row],[ราคาต่อหน่วย]]</f>
        <v>30343.559999999998</v>
      </c>
      <c r="M69" t="str">
        <f t="shared" si="1"/>
        <v>สามหมื่นสามร้อยสี่สิบสามบาทห้าสิบหกสตางค์</v>
      </c>
      <c r="N69" t="str">
        <f>IF(Table2[จำนวน(ชิ้น)] &lt;= 100,"สั่งซื้อ","ไม่ซื้อ")</f>
        <v>สั่งซื้อ</v>
      </c>
    </row>
    <row r="70" spans="1:14">
      <c r="A70" s="7">
        <v>45862</v>
      </c>
      <c r="B70" s="1" t="s">
        <v>14</v>
      </c>
      <c r="C70" s="1" t="s">
        <v>25</v>
      </c>
      <c r="D70" s="1" t="s">
        <v>23</v>
      </c>
      <c r="E70" s="2">
        <v>182</v>
      </c>
      <c r="F70" s="3">
        <v>270.57</v>
      </c>
      <c r="G70" s="4">
        <v>2.5</v>
      </c>
      <c r="H70" s="3">
        <v>16.059999999999999</v>
      </c>
      <c r="I70" s="4">
        <v>7</v>
      </c>
      <c r="J70" s="8">
        <v>15</v>
      </c>
      <c r="L70">
        <f>Table2[[#This Row],[จำนวน(ชิ้น)]]*Table2[[#This Row],[ราคาต่อหน่วย]]</f>
        <v>49243.74</v>
      </c>
      <c r="M70" t="str">
        <f t="shared" si="1"/>
        <v>สี่หมื่นเก้าพันสองร้อยสี่สิบสามบาทเจ็ดสิบสี่สตางค์</v>
      </c>
      <c r="N70" t="str">
        <f>IF(Table2[จำนวน(ชิ้น)] &lt;= 100,"สั่งซื้อ","ไม่ซื้อ")</f>
        <v>ไม่ซื้อ</v>
      </c>
    </row>
    <row r="71" spans="1:14">
      <c r="A71" s="7">
        <v>45865</v>
      </c>
      <c r="B71" s="1" t="s">
        <v>28</v>
      </c>
      <c r="C71" s="1" t="s">
        <v>27</v>
      </c>
      <c r="D71" s="1" t="s">
        <v>23</v>
      </c>
      <c r="E71" s="2">
        <v>20</v>
      </c>
      <c r="F71" s="3">
        <v>348.91</v>
      </c>
      <c r="G71" s="4">
        <v>7.5</v>
      </c>
      <c r="H71" s="3">
        <v>97.37</v>
      </c>
      <c r="I71" s="4">
        <v>0</v>
      </c>
      <c r="J71" s="8">
        <v>45</v>
      </c>
      <c r="L71">
        <f>Table2[[#This Row],[จำนวน(ชิ้น)]]*Table2[[#This Row],[ราคาต่อหน่วย]]</f>
        <v>6978.2000000000007</v>
      </c>
      <c r="M71" t="str">
        <f t="shared" si="1"/>
        <v>หกพันเก้าร้อยเจ็ดสิบแปดบาทยี่สิบสตางค์</v>
      </c>
      <c r="N71" t="str">
        <f>IF(Table2[จำนวน(ชิ้น)] &lt;= 100,"สั่งซื้อ","ไม่ซื้อ")</f>
        <v>สั่งซื้อ</v>
      </c>
    </row>
    <row r="72" spans="1:14">
      <c r="A72" s="7">
        <v>45868</v>
      </c>
      <c r="B72" s="1" t="s">
        <v>17</v>
      </c>
      <c r="C72" s="1" t="s">
        <v>27</v>
      </c>
      <c r="D72" s="1" t="s">
        <v>12</v>
      </c>
      <c r="E72" s="2">
        <v>246</v>
      </c>
      <c r="F72" s="3">
        <v>559.04999999999995</v>
      </c>
      <c r="G72" s="4">
        <v>15</v>
      </c>
      <c r="H72" s="3">
        <v>97.5</v>
      </c>
      <c r="I72" s="4">
        <v>7</v>
      </c>
      <c r="J72" s="8">
        <v>45</v>
      </c>
      <c r="L72">
        <f>Table2[[#This Row],[จำนวน(ชิ้น)]]*Table2[[#This Row],[ราคาต่อหน่วย]]</f>
        <v>137526.29999999999</v>
      </c>
      <c r="M72" t="str">
        <f t="shared" si="1"/>
        <v>หนึ่งแสนสามหมื่นเจ็ดพันห้าร้อยยี่สิบหกบาทสามสิบสตางค์</v>
      </c>
      <c r="N72" t="str">
        <f>IF(Table2[จำนวน(ชิ้น)] &lt;= 100,"สั่งซื้อ","ไม่ซื้อ")</f>
        <v>ไม่ซื้อ</v>
      </c>
    </row>
    <row r="73" spans="1:14">
      <c r="A73" s="7">
        <v>45871</v>
      </c>
      <c r="B73" s="1" t="s">
        <v>10</v>
      </c>
      <c r="C73" s="1" t="s">
        <v>25</v>
      </c>
      <c r="D73" s="1" t="s">
        <v>23</v>
      </c>
      <c r="E73" s="2">
        <v>61</v>
      </c>
      <c r="F73" s="3">
        <v>444.76</v>
      </c>
      <c r="G73" s="4">
        <v>7.5</v>
      </c>
      <c r="H73" s="3">
        <v>7.26</v>
      </c>
      <c r="I73" s="4">
        <v>7</v>
      </c>
      <c r="J73" s="8">
        <v>60</v>
      </c>
      <c r="L73">
        <f>Table2[[#This Row],[จำนวน(ชิ้น)]]*Table2[[#This Row],[ราคาต่อหน่วย]]</f>
        <v>27130.36</v>
      </c>
      <c r="M73" t="str">
        <f t="shared" si="1"/>
        <v>สองหมื่นเจ็ดพันหนึ่งร้อยสามสิบบาทสามสิบหกสตางค์</v>
      </c>
      <c r="N73" t="str">
        <f>IF(Table2[จำนวน(ชิ้น)] &lt;= 100,"สั่งซื้อ","ไม่ซื้อ")</f>
        <v>สั่งซื้อ</v>
      </c>
    </row>
    <row r="74" spans="1:14">
      <c r="A74" s="7">
        <v>45874</v>
      </c>
      <c r="B74" s="1" t="s">
        <v>10</v>
      </c>
      <c r="C74" s="1" t="s">
        <v>15</v>
      </c>
      <c r="D74" s="1" t="s">
        <v>26</v>
      </c>
      <c r="E74" s="2">
        <v>47</v>
      </c>
      <c r="F74" s="3">
        <v>1267.73</v>
      </c>
      <c r="G74" s="4">
        <v>2.5</v>
      </c>
      <c r="H74" s="3">
        <v>245.18</v>
      </c>
      <c r="I74" s="4">
        <v>0</v>
      </c>
      <c r="J74" s="8">
        <v>30</v>
      </c>
      <c r="L74">
        <f>Table2[[#This Row],[จำนวน(ชิ้น)]]*Table2[[#This Row],[ราคาต่อหน่วย]]</f>
        <v>59583.31</v>
      </c>
      <c r="M74" t="str">
        <f t="shared" si="1"/>
        <v>ห้าหมื่นเก้าพันห้าร้อยแปดสิบสามบาทสามสิบเอ็ดสตางค์</v>
      </c>
      <c r="N74" t="str">
        <f>IF(Table2[จำนวน(ชิ้น)] &lt;= 100,"สั่งซื้อ","ไม่ซื้อ")</f>
        <v>สั่งซื้อ</v>
      </c>
    </row>
    <row r="75" spans="1:14">
      <c r="A75" s="7">
        <v>45877</v>
      </c>
      <c r="B75" s="1" t="s">
        <v>28</v>
      </c>
      <c r="C75" s="1" t="s">
        <v>30</v>
      </c>
      <c r="D75" s="1" t="s">
        <v>12</v>
      </c>
      <c r="E75" s="2">
        <v>169</v>
      </c>
      <c r="F75" s="3">
        <v>670.49</v>
      </c>
      <c r="G75" s="4">
        <v>15</v>
      </c>
      <c r="H75" s="3">
        <v>115.42</v>
      </c>
      <c r="I75" s="4">
        <v>0</v>
      </c>
      <c r="J75" s="8">
        <v>15</v>
      </c>
      <c r="L75">
        <f>Table2[[#This Row],[จำนวน(ชิ้น)]]*Table2[[#This Row],[ราคาต่อหน่วย]]</f>
        <v>113312.81</v>
      </c>
      <c r="M75" t="str">
        <f t="shared" si="1"/>
        <v>หนึ่งแสนหนึ่งหมื่นสามพันสามร้อยสิบสองบาทแปดสิบเอ็ดสตางค์</v>
      </c>
      <c r="N75" t="str">
        <f>IF(Table2[จำนวน(ชิ้น)] &lt;= 100,"สั่งซื้อ","ไม่ซื้อ")</f>
        <v>ไม่ซื้อ</v>
      </c>
    </row>
    <row r="76" spans="1:14">
      <c r="A76" s="7">
        <v>45880</v>
      </c>
      <c r="B76" s="1" t="s">
        <v>17</v>
      </c>
      <c r="C76" s="1" t="s">
        <v>18</v>
      </c>
      <c r="D76" s="1" t="s">
        <v>16</v>
      </c>
      <c r="E76" s="2">
        <v>121</v>
      </c>
      <c r="F76" s="3">
        <v>522.92999999999995</v>
      </c>
      <c r="G76" s="4">
        <v>15</v>
      </c>
      <c r="H76" s="3">
        <v>219.91</v>
      </c>
      <c r="I76" s="4">
        <v>7</v>
      </c>
      <c r="J76" s="8">
        <v>30</v>
      </c>
      <c r="L76">
        <f>Table2[[#This Row],[จำนวน(ชิ้น)]]*Table2[[#This Row],[ราคาต่อหน่วย]]</f>
        <v>63274.529999999992</v>
      </c>
      <c r="M76" t="str">
        <f t="shared" si="1"/>
        <v>หกหมื่นสามพันสองร้อยเจ็ดสิบสี่บาทห้าสิบสามสตางค์</v>
      </c>
      <c r="N76" t="str">
        <f>IF(Table2[จำนวน(ชิ้น)] &lt;= 100,"สั่งซื้อ","ไม่ซื้อ")</f>
        <v>ไม่ซื้อ</v>
      </c>
    </row>
    <row r="77" spans="1:14">
      <c r="A77" s="7">
        <v>45883</v>
      </c>
      <c r="B77" s="1" t="s">
        <v>24</v>
      </c>
      <c r="C77" s="1" t="s">
        <v>11</v>
      </c>
      <c r="D77" s="1" t="s">
        <v>23</v>
      </c>
      <c r="E77" s="2">
        <v>9</v>
      </c>
      <c r="F77" s="3">
        <v>1135.0899999999999</v>
      </c>
      <c r="G77" s="4">
        <v>0</v>
      </c>
      <c r="H77" s="3">
        <v>249.98</v>
      </c>
      <c r="I77" s="4">
        <v>7</v>
      </c>
      <c r="J77" s="8">
        <v>7</v>
      </c>
      <c r="L77">
        <f>Table2[[#This Row],[จำนวน(ชิ้น)]]*Table2[[#This Row],[ราคาต่อหน่วย]]</f>
        <v>10215.81</v>
      </c>
      <c r="M77" t="str">
        <f t="shared" si="1"/>
        <v>หนึ่งหมื่นสองร้อยสิบห้าบาทแปดสิบเอ็ดสตางค์</v>
      </c>
      <c r="N77" t="str">
        <f>IF(Table2[จำนวน(ชิ้น)] &lt;= 100,"สั่งซื้อ","ไม่ซื้อ")</f>
        <v>สั่งซื้อ</v>
      </c>
    </row>
    <row r="78" spans="1:14">
      <c r="A78" s="7">
        <v>45886</v>
      </c>
      <c r="B78" s="1" t="s">
        <v>10</v>
      </c>
      <c r="C78" s="1" t="s">
        <v>11</v>
      </c>
      <c r="D78" s="1" t="s">
        <v>21</v>
      </c>
      <c r="E78" s="2">
        <v>250</v>
      </c>
      <c r="F78" s="3">
        <v>994.04</v>
      </c>
      <c r="G78" s="4">
        <v>15</v>
      </c>
      <c r="H78" s="3">
        <v>7.76</v>
      </c>
      <c r="I78" s="4">
        <v>0</v>
      </c>
      <c r="J78" s="8">
        <v>7</v>
      </c>
      <c r="L78">
        <f>Table2[[#This Row],[จำนวน(ชิ้น)]]*Table2[[#This Row],[ราคาต่อหน่วย]]</f>
        <v>248510</v>
      </c>
      <c r="M78" t="str">
        <f t="shared" si="1"/>
        <v>สองแสนสี่หมื่นแปดพันห้าร้อยสิบบาทถ้วน</v>
      </c>
      <c r="N78" t="str">
        <f>IF(Table2[จำนวน(ชิ้น)] &lt;= 100,"สั่งซื้อ","ไม่ซื้อ")</f>
        <v>ไม่ซื้อ</v>
      </c>
    </row>
    <row r="79" spans="1:14">
      <c r="A79" s="7">
        <v>45889</v>
      </c>
      <c r="B79" s="1" t="s">
        <v>20</v>
      </c>
      <c r="C79" s="1" t="s">
        <v>29</v>
      </c>
      <c r="D79" s="1" t="s">
        <v>16</v>
      </c>
      <c r="E79" s="2">
        <v>37</v>
      </c>
      <c r="F79" s="3">
        <v>735.66</v>
      </c>
      <c r="G79" s="4">
        <v>0</v>
      </c>
      <c r="H79" s="3">
        <v>140.99</v>
      </c>
      <c r="I79" s="4">
        <v>0</v>
      </c>
      <c r="J79" s="8">
        <v>30</v>
      </c>
      <c r="L79">
        <f>Table2[[#This Row],[จำนวน(ชิ้น)]]*Table2[[#This Row],[ราคาต่อหน่วย]]</f>
        <v>27219.42</v>
      </c>
      <c r="M79" t="str">
        <f t="shared" si="1"/>
        <v>สองหมื่นเจ็ดพันสองร้อยสิบเก้าบาทสี่สิบสองสตางค์</v>
      </c>
      <c r="N79" t="str">
        <f>IF(Table2[จำนวน(ชิ้น)] &lt;= 100,"สั่งซื้อ","ไม่ซื้อ")</f>
        <v>สั่งซื้อ</v>
      </c>
    </row>
    <row r="80" spans="1:14">
      <c r="A80" s="7">
        <v>45892</v>
      </c>
      <c r="B80" s="1" t="s">
        <v>10</v>
      </c>
      <c r="C80" s="1" t="s">
        <v>22</v>
      </c>
      <c r="D80" s="1" t="s">
        <v>21</v>
      </c>
      <c r="E80" s="2">
        <v>99</v>
      </c>
      <c r="F80" s="3">
        <v>292.29000000000002</v>
      </c>
      <c r="G80" s="4">
        <v>10</v>
      </c>
      <c r="H80" s="3">
        <v>240.93</v>
      </c>
      <c r="I80" s="4">
        <v>0</v>
      </c>
      <c r="J80" s="8">
        <v>7</v>
      </c>
      <c r="L80">
        <f>Table2[[#This Row],[จำนวน(ชิ้น)]]*Table2[[#This Row],[ราคาต่อหน่วย]]</f>
        <v>28936.710000000003</v>
      </c>
      <c r="M80" t="str">
        <f t="shared" si="1"/>
        <v>สองหมื่นแปดพันเก้าร้อยสามสิบหกบาทเจ็ดสิบเอ็ดสตางค์</v>
      </c>
      <c r="N80" t="str">
        <f>IF(Table2[จำนวน(ชิ้น)] &lt;= 100,"สั่งซื้อ","ไม่ซื้อ")</f>
        <v>สั่งซื้อ</v>
      </c>
    </row>
    <row r="81" spans="1:14">
      <c r="A81" s="7">
        <v>45895</v>
      </c>
      <c r="B81" s="1" t="s">
        <v>24</v>
      </c>
      <c r="C81" s="1" t="s">
        <v>11</v>
      </c>
      <c r="D81" s="1" t="s">
        <v>13</v>
      </c>
      <c r="E81" s="2">
        <v>11</v>
      </c>
      <c r="F81" s="3">
        <v>1395.89</v>
      </c>
      <c r="G81" s="4">
        <v>10</v>
      </c>
      <c r="H81" s="3">
        <v>169.34</v>
      </c>
      <c r="I81" s="4">
        <v>7</v>
      </c>
      <c r="J81" s="8">
        <v>30</v>
      </c>
      <c r="L81">
        <f>Table2[[#This Row],[จำนวน(ชิ้น)]]*Table2[[#This Row],[ราคาต่อหน่วย]]</f>
        <v>15354.79</v>
      </c>
      <c r="M81" t="str">
        <f t="shared" si="1"/>
        <v>หนึ่งหมื่นห้าพันสามร้อยห้าสิบสี่บาทเจ็ดสิบเก้าสตางค์</v>
      </c>
      <c r="N81" t="str">
        <f>IF(Table2[จำนวน(ชิ้น)] &lt;= 100,"สั่งซื้อ","ไม่ซื้อ")</f>
        <v>สั่งซื้อ</v>
      </c>
    </row>
    <row r="82" spans="1:14">
      <c r="A82" s="7">
        <v>45898</v>
      </c>
      <c r="B82" s="1" t="s">
        <v>10</v>
      </c>
      <c r="C82" s="1" t="s">
        <v>25</v>
      </c>
      <c r="D82" s="1" t="s">
        <v>12</v>
      </c>
      <c r="E82" s="2">
        <v>156</v>
      </c>
      <c r="F82" s="3">
        <v>1050.3900000000001</v>
      </c>
      <c r="G82" s="4">
        <v>12.5</v>
      </c>
      <c r="H82" s="3">
        <v>60.71</v>
      </c>
      <c r="I82" s="4">
        <v>7</v>
      </c>
      <c r="J82" s="8">
        <v>60</v>
      </c>
      <c r="L82">
        <f>Table2[[#This Row],[จำนวน(ชิ้น)]]*Table2[[#This Row],[ราคาต่อหน่วย]]</f>
        <v>163860.84000000003</v>
      </c>
      <c r="M82" t="str">
        <f t="shared" si="1"/>
        <v>หนึ่งแสนหกหมื่นสามพันแปดร้อยหกสิบบาทแปดสิบสี่สตางค์</v>
      </c>
      <c r="N82" t="str">
        <f>IF(Table2[จำนวน(ชิ้น)] &lt;= 100,"สั่งซื้อ","ไม่ซื้อ")</f>
        <v>ไม่ซื้อ</v>
      </c>
    </row>
    <row r="83" spans="1:14">
      <c r="A83" s="7">
        <v>45901</v>
      </c>
      <c r="B83" s="1" t="s">
        <v>28</v>
      </c>
      <c r="C83" s="1" t="s">
        <v>11</v>
      </c>
      <c r="D83" s="1" t="s">
        <v>21</v>
      </c>
      <c r="E83" s="2">
        <v>149</v>
      </c>
      <c r="F83" s="3">
        <v>1183.82</v>
      </c>
      <c r="G83" s="4">
        <v>5</v>
      </c>
      <c r="H83" s="3">
        <v>133.19</v>
      </c>
      <c r="I83" s="4">
        <v>7</v>
      </c>
      <c r="J83" s="8">
        <v>0</v>
      </c>
      <c r="L83">
        <f>Table2[[#This Row],[จำนวน(ชิ้น)]]*Table2[[#This Row],[ราคาต่อหน่วย]]</f>
        <v>176389.18</v>
      </c>
      <c r="M83" t="str">
        <f t="shared" si="1"/>
        <v>หนึ่งแสนเจ็ดหมื่นหกพันสามร้อยแปดสิบเก้าบาทสิบแปดสตางค์</v>
      </c>
      <c r="N83" t="str">
        <f>IF(Table2[จำนวน(ชิ้น)] &lt;= 100,"สั่งซื้อ","ไม่ซื้อ")</f>
        <v>ไม่ซื้อ</v>
      </c>
    </row>
    <row r="84" spans="1:14">
      <c r="A84" s="7">
        <v>45904</v>
      </c>
      <c r="B84" s="1" t="s">
        <v>28</v>
      </c>
      <c r="C84" s="1" t="s">
        <v>18</v>
      </c>
      <c r="D84" s="1" t="s">
        <v>12</v>
      </c>
      <c r="E84" s="2">
        <v>222</v>
      </c>
      <c r="F84" s="3">
        <v>658.09</v>
      </c>
      <c r="G84" s="4">
        <v>7.5</v>
      </c>
      <c r="H84" s="3">
        <v>26.38</v>
      </c>
      <c r="I84" s="4">
        <v>7</v>
      </c>
      <c r="J84" s="8">
        <v>60</v>
      </c>
      <c r="L84">
        <f>Table2[[#This Row],[จำนวน(ชิ้น)]]*Table2[[#This Row],[ราคาต่อหน่วย]]</f>
        <v>146095.98000000001</v>
      </c>
      <c r="M84" t="str">
        <f t="shared" si="1"/>
        <v>หนึ่งแสนสี่หมื่นหกพันเก้าสิบห้าบาทเก้าสิบแปดสตางค์</v>
      </c>
      <c r="N84" t="str">
        <f>IF(Table2[จำนวน(ชิ้น)] &lt;= 100,"สั่งซื้อ","ไม่ซื้อ")</f>
        <v>ไม่ซื้อ</v>
      </c>
    </row>
    <row r="85" spans="1:14">
      <c r="A85" s="7">
        <v>45907</v>
      </c>
      <c r="B85" s="1" t="s">
        <v>17</v>
      </c>
      <c r="C85" s="1" t="s">
        <v>29</v>
      </c>
      <c r="D85" s="1" t="s">
        <v>23</v>
      </c>
      <c r="E85" s="2">
        <v>50</v>
      </c>
      <c r="F85" s="3">
        <v>1113</v>
      </c>
      <c r="G85" s="4">
        <v>12.5</v>
      </c>
      <c r="H85" s="3">
        <v>67.52</v>
      </c>
      <c r="I85" s="4">
        <v>7</v>
      </c>
      <c r="J85" s="8">
        <v>30</v>
      </c>
      <c r="L85">
        <f>Table2[[#This Row],[จำนวน(ชิ้น)]]*Table2[[#This Row],[ราคาต่อหน่วย]]</f>
        <v>55650</v>
      </c>
      <c r="M85" t="str">
        <f t="shared" si="1"/>
        <v>ห้าหมื่นห้าพันหกร้อยห้าสิบบาทถ้วน</v>
      </c>
      <c r="N85" t="str">
        <f>IF(Table2[จำนวน(ชิ้น)] &lt;= 100,"สั่งซื้อ","ไม่ซื้อ")</f>
        <v>สั่งซื้อ</v>
      </c>
    </row>
    <row r="86" spans="1:14">
      <c r="A86" s="7">
        <v>45910</v>
      </c>
      <c r="B86" s="1" t="s">
        <v>17</v>
      </c>
      <c r="C86" s="1" t="s">
        <v>22</v>
      </c>
      <c r="D86" s="1" t="s">
        <v>19</v>
      </c>
      <c r="E86" s="2">
        <v>223</v>
      </c>
      <c r="F86" s="3">
        <v>404.97</v>
      </c>
      <c r="G86" s="4">
        <v>0</v>
      </c>
      <c r="H86" s="3">
        <v>69.73</v>
      </c>
      <c r="I86" s="4">
        <v>7</v>
      </c>
      <c r="J86" s="8">
        <v>7</v>
      </c>
      <c r="L86">
        <f>Table2[[#This Row],[จำนวน(ชิ้น)]]*Table2[[#This Row],[ราคาต่อหน่วย]]</f>
        <v>90308.310000000012</v>
      </c>
      <c r="M86" t="str">
        <f t="shared" si="1"/>
        <v>เก้าหมื่นสามร้อยแปดบาทสามสิบเอ็ดสตางค์</v>
      </c>
      <c r="N86" t="str">
        <f>IF(Table2[จำนวน(ชิ้น)] &lt;= 100,"สั่งซื้อ","ไม่ซื้อ")</f>
        <v>ไม่ซื้อ</v>
      </c>
    </row>
    <row r="87" spans="1:14">
      <c r="A87" s="7">
        <v>45913</v>
      </c>
      <c r="B87" s="1" t="s">
        <v>17</v>
      </c>
      <c r="C87" s="1" t="s">
        <v>15</v>
      </c>
      <c r="D87" s="1" t="s">
        <v>19</v>
      </c>
      <c r="E87" s="2">
        <v>12</v>
      </c>
      <c r="F87" s="3">
        <v>765.74</v>
      </c>
      <c r="G87" s="4">
        <v>5</v>
      </c>
      <c r="H87" s="3">
        <v>45.46</v>
      </c>
      <c r="I87" s="4">
        <v>0</v>
      </c>
      <c r="J87" s="8">
        <v>15</v>
      </c>
      <c r="L87">
        <f>Table2[[#This Row],[จำนวน(ชิ้น)]]*Table2[[#This Row],[ราคาต่อหน่วย]]</f>
        <v>9188.880000000001</v>
      </c>
      <c r="M87" t="str">
        <f t="shared" si="1"/>
        <v>เก้าพันหนึ่งร้อยแปดสิบแปดบาทแปดสิบแปดสตางค์</v>
      </c>
      <c r="N87" t="str">
        <f>IF(Table2[จำนวน(ชิ้น)] &lt;= 100,"สั่งซื้อ","ไม่ซื้อ")</f>
        <v>สั่งซื้อ</v>
      </c>
    </row>
    <row r="88" spans="1:14">
      <c r="A88" s="7">
        <v>45916</v>
      </c>
      <c r="B88" s="1" t="s">
        <v>24</v>
      </c>
      <c r="C88" s="1" t="s">
        <v>18</v>
      </c>
      <c r="D88" s="1" t="s">
        <v>19</v>
      </c>
      <c r="E88" s="2">
        <v>230</v>
      </c>
      <c r="F88" s="3">
        <v>913.42</v>
      </c>
      <c r="G88" s="4">
        <v>5</v>
      </c>
      <c r="H88" s="3">
        <v>138.94999999999999</v>
      </c>
      <c r="I88" s="4">
        <v>0</v>
      </c>
      <c r="J88" s="8">
        <v>0</v>
      </c>
      <c r="L88">
        <f>Table2[[#This Row],[จำนวน(ชิ้น)]]*Table2[[#This Row],[ราคาต่อหน่วย]]</f>
        <v>210086.59999999998</v>
      </c>
      <c r="M88" t="str">
        <f t="shared" si="1"/>
        <v>สองแสนหนึ่งหมื่นแปดสิบหกบาทหกสิบสตางค์</v>
      </c>
      <c r="N88" t="str">
        <f>IF(Table2[จำนวน(ชิ้น)] &lt;= 100,"สั่งซื้อ","ไม่ซื้อ")</f>
        <v>ไม่ซื้อ</v>
      </c>
    </row>
    <row r="89" spans="1:14">
      <c r="A89" s="7">
        <v>45919</v>
      </c>
      <c r="B89" s="1" t="s">
        <v>14</v>
      </c>
      <c r="C89" s="1" t="s">
        <v>15</v>
      </c>
      <c r="D89" s="1" t="s">
        <v>23</v>
      </c>
      <c r="E89" s="2">
        <v>147</v>
      </c>
      <c r="F89" s="3">
        <v>1148.3399999999999</v>
      </c>
      <c r="G89" s="4">
        <v>12.5</v>
      </c>
      <c r="H89" s="3">
        <v>119.02</v>
      </c>
      <c r="I89" s="4">
        <v>7</v>
      </c>
      <c r="J89" s="8">
        <v>30</v>
      </c>
      <c r="L89">
        <f>Table2[[#This Row],[จำนวน(ชิ้น)]]*Table2[[#This Row],[ราคาต่อหน่วย]]</f>
        <v>168805.97999999998</v>
      </c>
      <c r="M89" t="str">
        <f t="shared" si="1"/>
        <v>หนึ่งแสนหกหมื่นแปดพันแปดร้อยห้าบาทเก้าสิบแปดสตางค์</v>
      </c>
      <c r="N89" t="str">
        <f>IF(Table2[จำนวน(ชิ้น)] &lt;= 100,"สั่งซื้อ","ไม่ซื้อ")</f>
        <v>ไม่ซื้อ</v>
      </c>
    </row>
    <row r="90" spans="1:14">
      <c r="A90" s="7">
        <v>45922</v>
      </c>
      <c r="B90" s="1" t="s">
        <v>20</v>
      </c>
      <c r="C90" s="1" t="s">
        <v>11</v>
      </c>
      <c r="D90" s="1" t="s">
        <v>19</v>
      </c>
      <c r="E90" s="2">
        <v>61</v>
      </c>
      <c r="F90" s="3">
        <v>635.38</v>
      </c>
      <c r="G90" s="4">
        <v>2.5</v>
      </c>
      <c r="H90" s="3">
        <v>76.55</v>
      </c>
      <c r="I90" s="4">
        <v>7</v>
      </c>
      <c r="J90" s="8">
        <v>30</v>
      </c>
      <c r="L90">
        <f>Table2[[#This Row],[จำนวน(ชิ้น)]]*Table2[[#This Row],[ราคาต่อหน่วย]]</f>
        <v>38758.18</v>
      </c>
      <c r="M90" t="str">
        <f t="shared" si="1"/>
        <v>สามหมื่นแปดพันเจ็ดร้อยห้าสิบแปดบาทสิบแปดสตางค์</v>
      </c>
      <c r="N90" t="str">
        <f>IF(Table2[จำนวน(ชิ้น)] &lt;= 100,"สั่งซื้อ","ไม่ซื้อ")</f>
        <v>สั่งซื้อ</v>
      </c>
    </row>
    <row r="91" spans="1:14">
      <c r="A91" s="7">
        <v>45925</v>
      </c>
      <c r="B91" s="1" t="s">
        <v>28</v>
      </c>
      <c r="C91" s="1" t="s">
        <v>18</v>
      </c>
      <c r="D91" s="1" t="s">
        <v>23</v>
      </c>
      <c r="E91" s="2">
        <v>195</v>
      </c>
      <c r="F91" s="3">
        <v>847.06</v>
      </c>
      <c r="G91" s="4">
        <v>5</v>
      </c>
      <c r="H91" s="3">
        <v>175.71</v>
      </c>
      <c r="I91" s="4">
        <v>7</v>
      </c>
      <c r="J91" s="8">
        <v>15</v>
      </c>
      <c r="L91">
        <f>Table2[[#This Row],[จำนวน(ชิ้น)]]*Table2[[#This Row],[ราคาต่อหน่วย]]</f>
        <v>165176.69999999998</v>
      </c>
      <c r="M91" t="str">
        <f t="shared" si="1"/>
        <v>หนึ่งแสนหกหมื่นห้าพันหนึ่งร้อยเจ็ดสิบหกบาทเจ็ดสิบสตางค์</v>
      </c>
      <c r="N91" t="str">
        <f>IF(Table2[จำนวน(ชิ้น)] &lt;= 100,"สั่งซื้อ","ไม่ซื้อ")</f>
        <v>ไม่ซื้อ</v>
      </c>
    </row>
    <row r="92" spans="1:14">
      <c r="A92" s="7">
        <v>45928</v>
      </c>
      <c r="B92" s="1" t="s">
        <v>24</v>
      </c>
      <c r="C92" s="1" t="s">
        <v>25</v>
      </c>
      <c r="D92" s="1" t="s">
        <v>12</v>
      </c>
      <c r="E92" s="2">
        <v>189</v>
      </c>
      <c r="F92" s="3">
        <v>328.25</v>
      </c>
      <c r="G92" s="4">
        <v>0</v>
      </c>
      <c r="H92" s="3">
        <v>185.72</v>
      </c>
      <c r="I92" s="4">
        <v>0</v>
      </c>
      <c r="J92" s="8">
        <v>7</v>
      </c>
      <c r="L92">
        <f>Table2[[#This Row],[จำนวน(ชิ้น)]]*Table2[[#This Row],[ราคาต่อหน่วย]]</f>
        <v>62039.25</v>
      </c>
      <c r="M92" t="str">
        <f t="shared" si="1"/>
        <v>หกหมื่นสองพันสามสิบเก้าบาทยี่สิบห้าสตางค์</v>
      </c>
      <c r="N92" t="str">
        <f>IF(Table2[จำนวน(ชิ้น)] &lt;= 100,"สั่งซื้อ","ไม่ซื้อ")</f>
        <v>ไม่ซื้อ</v>
      </c>
    </row>
    <row r="93" spans="1:14">
      <c r="A93" s="7">
        <v>45931</v>
      </c>
      <c r="B93" s="1" t="s">
        <v>14</v>
      </c>
      <c r="C93" s="1" t="s">
        <v>27</v>
      </c>
      <c r="D93" s="1" t="s">
        <v>19</v>
      </c>
      <c r="E93" s="2">
        <v>190</v>
      </c>
      <c r="F93" s="3">
        <v>903.9</v>
      </c>
      <c r="G93" s="4">
        <v>15</v>
      </c>
      <c r="H93" s="3">
        <v>131.16</v>
      </c>
      <c r="I93" s="4">
        <v>7</v>
      </c>
      <c r="J93" s="8">
        <v>0</v>
      </c>
      <c r="L93">
        <f>Table2[[#This Row],[จำนวน(ชิ้น)]]*Table2[[#This Row],[ราคาต่อหน่วย]]</f>
        <v>171741</v>
      </c>
      <c r="M93" t="str">
        <f t="shared" si="1"/>
        <v>หนึ่งแสนเจ็ดหมื่นหนึ่งพันเจ็ดร้อยสี่สิบเอ็ดบาทถ้วน</v>
      </c>
      <c r="N93" t="str">
        <f>IF(Table2[จำนวน(ชิ้น)] &lt;= 100,"สั่งซื้อ","ไม่ซื้อ")</f>
        <v>ไม่ซื้อ</v>
      </c>
    </row>
    <row r="94" spans="1:14">
      <c r="A94" s="7">
        <v>45934</v>
      </c>
      <c r="B94" s="1" t="s">
        <v>14</v>
      </c>
      <c r="C94" s="1" t="s">
        <v>22</v>
      </c>
      <c r="D94" s="1" t="s">
        <v>16</v>
      </c>
      <c r="E94" s="2">
        <v>97</v>
      </c>
      <c r="F94" s="3">
        <v>309.19</v>
      </c>
      <c r="G94" s="4">
        <v>0</v>
      </c>
      <c r="H94" s="3">
        <v>177</v>
      </c>
      <c r="I94" s="4">
        <v>0</v>
      </c>
      <c r="J94" s="8">
        <v>15</v>
      </c>
      <c r="L94">
        <f>Table2[[#This Row],[จำนวน(ชิ้น)]]*Table2[[#This Row],[ราคาต่อหน่วย]]</f>
        <v>29991.43</v>
      </c>
      <c r="M94" t="str">
        <f t="shared" si="1"/>
        <v>สองหมื่นเก้าพันเก้าร้อยเก้าสิบเอ็ดบาทสี่สิบสามสตางค์</v>
      </c>
      <c r="N94" t="str">
        <f>IF(Table2[จำนวน(ชิ้น)] &lt;= 100,"สั่งซื้อ","ไม่ซื้อ")</f>
        <v>สั่งซื้อ</v>
      </c>
    </row>
    <row r="95" spans="1:14">
      <c r="A95" s="7">
        <v>45937</v>
      </c>
      <c r="B95" s="1" t="s">
        <v>20</v>
      </c>
      <c r="C95" s="1" t="s">
        <v>30</v>
      </c>
      <c r="D95" s="1" t="s">
        <v>13</v>
      </c>
      <c r="E95" s="2">
        <v>79</v>
      </c>
      <c r="F95" s="3">
        <v>1060.26</v>
      </c>
      <c r="G95" s="4">
        <v>2.5</v>
      </c>
      <c r="H95" s="3">
        <v>159.47</v>
      </c>
      <c r="I95" s="4">
        <v>7</v>
      </c>
      <c r="J95" s="8">
        <v>0</v>
      </c>
      <c r="L95">
        <f>Table2[[#This Row],[จำนวน(ชิ้น)]]*Table2[[#This Row],[ราคาต่อหน่วย]]</f>
        <v>83760.539999999994</v>
      </c>
      <c r="M95" t="str">
        <f t="shared" si="1"/>
        <v>แปดหมื่นสามพันเจ็ดร้อยหกสิบบาทห้าสิบสี่สตางค์</v>
      </c>
      <c r="N95" t="str">
        <f>IF(Table2[จำนวน(ชิ้น)] &lt;= 100,"สั่งซื้อ","ไม่ซื้อ")</f>
        <v>สั่งซื้อ</v>
      </c>
    </row>
    <row r="96" spans="1:14">
      <c r="A96" s="7">
        <v>45940</v>
      </c>
      <c r="B96" s="1" t="s">
        <v>20</v>
      </c>
      <c r="C96" s="1" t="s">
        <v>22</v>
      </c>
      <c r="D96" s="1" t="s">
        <v>23</v>
      </c>
      <c r="E96" s="2">
        <v>127</v>
      </c>
      <c r="F96" s="3">
        <v>687.68</v>
      </c>
      <c r="G96" s="4">
        <v>2.5</v>
      </c>
      <c r="H96" s="3">
        <v>241.37</v>
      </c>
      <c r="I96" s="4">
        <v>7</v>
      </c>
      <c r="J96" s="8">
        <v>30</v>
      </c>
      <c r="L96">
        <f>Table2[[#This Row],[จำนวน(ชิ้น)]]*Table2[[#This Row],[ราคาต่อหน่วย]]</f>
        <v>87335.360000000001</v>
      </c>
      <c r="M96" t="str">
        <f t="shared" si="1"/>
        <v>แปดหมื่นเจ็ดพันสามร้อยสามสิบห้าบาทสามสิบหกสตางค์</v>
      </c>
      <c r="N96" t="str">
        <f>IF(Table2[จำนวน(ชิ้น)] &lt;= 100,"สั่งซื้อ","ไม่ซื้อ")</f>
        <v>ไม่ซื้อ</v>
      </c>
    </row>
    <row r="97" spans="1:14">
      <c r="A97" s="7">
        <v>45943</v>
      </c>
      <c r="B97" s="1" t="s">
        <v>20</v>
      </c>
      <c r="C97" s="1" t="s">
        <v>11</v>
      </c>
      <c r="D97" s="1" t="s">
        <v>23</v>
      </c>
      <c r="E97" s="2">
        <v>130</v>
      </c>
      <c r="F97" s="3">
        <v>156.41999999999999</v>
      </c>
      <c r="G97" s="4">
        <v>12.5</v>
      </c>
      <c r="H97" s="3">
        <v>171.61</v>
      </c>
      <c r="I97" s="4">
        <v>0</v>
      </c>
      <c r="J97" s="8">
        <v>7</v>
      </c>
      <c r="L97">
        <f>Table2[[#This Row],[จำนวน(ชิ้น)]]*Table2[[#This Row],[ราคาต่อหน่วย]]</f>
        <v>20334.599999999999</v>
      </c>
      <c r="M97" t="str">
        <f t="shared" si="1"/>
        <v>สองหมื่นสามร้อยสามสิบสี่บาทหกสิบสตางค์</v>
      </c>
      <c r="N97" t="str">
        <f>IF(Table2[จำนวน(ชิ้น)] &lt;= 100,"สั่งซื้อ","ไม่ซื้อ")</f>
        <v>ไม่ซื้อ</v>
      </c>
    </row>
    <row r="98" spans="1:14">
      <c r="A98" s="7">
        <v>45946</v>
      </c>
      <c r="B98" s="1" t="s">
        <v>28</v>
      </c>
      <c r="C98" s="1" t="s">
        <v>22</v>
      </c>
      <c r="D98" s="1" t="s">
        <v>12</v>
      </c>
      <c r="E98" s="2">
        <v>68</v>
      </c>
      <c r="F98" s="3">
        <v>220.75</v>
      </c>
      <c r="G98" s="4">
        <v>15</v>
      </c>
      <c r="H98" s="3">
        <v>104.04</v>
      </c>
      <c r="I98" s="4">
        <v>0</v>
      </c>
      <c r="J98" s="8">
        <v>45</v>
      </c>
      <c r="L98">
        <f>Table2[[#This Row],[จำนวน(ชิ้น)]]*Table2[[#This Row],[ราคาต่อหน่วย]]</f>
        <v>15011</v>
      </c>
      <c r="M98" t="str">
        <f t="shared" si="1"/>
        <v>หนึ่งหมื่นห้าพันสิบเอ็ดบาทถ้วน</v>
      </c>
      <c r="N98" t="str">
        <f>IF(Table2[จำนวน(ชิ้น)] &lt;= 100,"สั่งซื้อ","ไม่ซื้อ")</f>
        <v>สั่งซื้อ</v>
      </c>
    </row>
    <row r="99" spans="1:14">
      <c r="A99" s="7">
        <v>45949</v>
      </c>
      <c r="B99" s="1" t="s">
        <v>17</v>
      </c>
      <c r="C99" s="1" t="s">
        <v>27</v>
      </c>
      <c r="D99" s="1" t="s">
        <v>23</v>
      </c>
      <c r="E99" s="2">
        <v>81</v>
      </c>
      <c r="F99" s="3">
        <v>1296.24</v>
      </c>
      <c r="G99" s="4">
        <v>7.5</v>
      </c>
      <c r="H99" s="3">
        <v>76.349999999999994</v>
      </c>
      <c r="I99" s="4">
        <v>0</v>
      </c>
      <c r="J99" s="8">
        <v>45</v>
      </c>
      <c r="L99">
        <f>Table2[[#This Row],[จำนวน(ชิ้น)]]*Table2[[#This Row],[ราคาต่อหน่วย]]</f>
        <v>104995.44</v>
      </c>
      <c r="M99" t="str">
        <f t="shared" si="1"/>
        <v>หนึ่งแสนสี่พันเก้าร้อยเก้าสิบห้าบาทสี่สิบสี่สตางค์</v>
      </c>
      <c r="N99" t="str">
        <f>IF(Table2[จำนวน(ชิ้น)] &lt;= 100,"สั่งซื้อ","ไม่ซื้อ")</f>
        <v>สั่งซื้อ</v>
      </c>
    </row>
    <row r="100" spans="1:14">
      <c r="A100" s="7">
        <v>45952</v>
      </c>
      <c r="B100" s="1" t="s">
        <v>10</v>
      </c>
      <c r="C100" s="1" t="s">
        <v>11</v>
      </c>
      <c r="D100" s="1" t="s">
        <v>21</v>
      </c>
      <c r="E100" s="2">
        <v>58</v>
      </c>
      <c r="F100" s="3">
        <v>956</v>
      </c>
      <c r="G100" s="4">
        <v>5</v>
      </c>
      <c r="H100" s="3">
        <v>165.11</v>
      </c>
      <c r="I100" s="4">
        <v>0</v>
      </c>
      <c r="J100" s="8">
        <v>7</v>
      </c>
      <c r="L100">
        <f>Table2[[#This Row],[จำนวน(ชิ้น)]]*Table2[[#This Row],[ราคาต่อหน่วย]]</f>
        <v>55448</v>
      </c>
      <c r="M100" t="str">
        <f t="shared" si="1"/>
        <v>ห้าหมื่นห้าพันสี่ร้อยสี่สิบแปดบาทถ้วน</v>
      </c>
      <c r="N100" t="str">
        <f>IF(Table2[จำนวน(ชิ้น)] &lt;= 100,"สั่งซื้อ","ไม่ซื้อ")</f>
        <v>สั่งซื้อ</v>
      </c>
    </row>
    <row r="101" spans="1:14">
      <c r="A101" s="7">
        <v>45955</v>
      </c>
      <c r="B101" s="1" t="s">
        <v>14</v>
      </c>
      <c r="C101" s="1" t="s">
        <v>11</v>
      </c>
      <c r="D101" s="1" t="s">
        <v>16</v>
      </c>
      <c r="E101" s="2">
        <v>5</v>
      </c>
      <c r="F101" s="3">
        <v>641.35</v>
      </c>
      <c r="G101" s="4">
        <v>12.5</v>
      </c>
      <c r="H101" s="3">
        <v>148.44999999999999</v>
      </c>
      <c r="I101" s="4">
        <v>7</v>
      </c>
      <c r="J101" s="8">
        <v>0</v>
      </c>
      <c r="L101">
        <f>Table2[[#This Row],[จำนวน(ชิ้น)]]*Table2[[#This Row],[ราคาต่อหน่วย]]</f>
        <v>3206.75</v>
      </c>
      <c r="M101" t="str">
        <f t="shared" si="1"/>
        <v>สามพันสองร้อยหกบาทเจ็ดสิบห้าสตางค์</v>
      </c>
      <c r="N101" t="str">
        <f>IF(Table2[จำนวน(ชิ้น)] &lt;= 100,"สั่งซื้อ","ไม่ซื้อ")</f>
        <v>สั่งซื้อ</v>
      </c>
    </row>
    <row r="102" spans="1:14">
      <c r="A102" s="7">
        <v>45958</v>
      </c>
      <c r="B102" s="1" t="s">
        <v>14</v>
      </c>
      <c r="C102" s="1" t="s">
        <v>22</v>
      </c>
      <c r="D102" s="1" t="s">
        <v>26</v>
      </c>
      <c r="E102" s="2">
        <v>77</v>
      </c>
      <c r="F102" s="3">
        <v>1068.33</v>
      </c>
      <c r="G102" s="4">
        <v>7.5</v>
      </c>
      <c r="H102" s="3">
        <v>17.79</v>
      </c>
      <c r="I102" s="4">
        <v>0</v>
      </c>
      <c r="J102" s="8">
        <v>15</v>
      </c>
      <c r="L102">
        <f>Table2[[#This Row],[จำนวน(ชิ้น)]]*Table2[[#This Row],[ราคาต่อหน่วย]]</f>
        <v>82261.409999999989</v>
      </c>
      <c r="M102" t="str">
        <f t="shared" si="1"/>
        <v>แปดหมื่นสองพันสองร้อยหกสิบเอ็ดบาทสี่สิบเอ็ดสตางค์</v>
      </c>
      <c r="N102" t="str">
        <f>IF(Table2[จำนวน(ชิ้น)] &lt;= 100,"สั่งซื้อ","ไม่ซื้อ")</f>
        <v>สั่งซื้อ</v>
      </c>
    </row>
    <row r="103" spans="1:14">
      <c r="A103" s="7">
        <v>45961</v>
      </c>
      <c r="B103" s="1" t="s">
        <v>10</v>
      </c>
      <c r="C103" s="1" t="s">
        <v>25</v>
      </c>
      <c r="D103" s="1" t="s">
        <v>23</v>
      </c>
      <c r="E103" s="2">
        <v>34</v>
      </c>
      <c r="F103" s="3">
        <v>838.62</v>
      </c>
      <c r="G103" s="4">
        <v>12.5</v>
      </c>
      <c r="H103" s="3">
        <v>37.25</v>
      </c>
      <c r="I103" s="4">
        <v>7</v>
      </c>
      <c r="J103" s="8">
        <v>7</v>
      </c>
      <c r="L103">
        <f>Table2[[#This Row],[จำนวน(ชิ้น)]]*Table2[[#This Row],[ราคาต่อหน่วย]]</f>
        <v>28513.08</v>
      </c>
      <c r="M103" t="str">
        <f t="shared" si="1"/>
        <v>สองหมื่นแปดพันห้าร้อยสิบสามบาทแปดสตางค์</v>
      </c>
      <c r="N103" t="str">
        <f>IF(Table2[จำนวน(ชิ้น)] &lt;= 100,"สั่งซื้อ","ไม่ซื้อ")</f>
        <v>สั่งซื้อ</v>
      </c>
    </row>
    <row r="104" spans="1:14">
      <c r="A104" s="7">
        <v>45964</v>
      </c>
      <c r="B104" s="1" t="s">
        <v>20</v>
      </c>
      <c r="C104" s="1" t="s">
        <v>30</v>
      </c>
      <c r="D104" s="1" t="s">
        <v>16</v>
      </c>
      <c r="E104" s="2">
        <v>207</v>
      </c>
      <c r="F104" s="3">
        <v>495.04</v>
      </c>
      <c r="G104" s="4">
        <v>12.5</v>
      </c>
      <c r="H104" s="3">
        <v>206.06</v>
      </c>
      <c r="I104" s="4">
        <v>7</v>
      </c>
      <c r="J104" s="8">
        <v>30</v>
      </c>
      <c r="L104">
        <f>Table2[[#This Row],[จำนวน(ชิ้น)]]*Table2[[#This Row],[ราคาต่อหน่วย]]</f>
        <v>102473.28</v>
      </c>
      <c r="M104" t="str">
        <f t="shared" si="1"/>
        <v>หนึ่งแสนสองพันสี่ร้อยเจ็ดสิบสามบาทยี่สิบแปดสตางค์</v>
      </c>
      <c r="N104" t="str">
        <f>IF(Table2[จำนวน(ชิ้น)] &lt;= 100,"สั่งซื้อ","ไม่ซื้อ")</f>
        <v>ไม่ซื้อ</v>
      </c>
    </row>
    <row r="105" spans="1:14">
      <c r="A105" s="7">
        <v>45967</v>
      </c>
      <c r="B105" s="1" t="s">
        <v>20</v>
      </c>
      <c r="C105" s="1" t="s">
        <v>27</v>
      </c>
      <c r="D105" s="1" t="s">
        <v>26</v>
      </c>
      <c r="E105" s="2">
        <v>82</v>
      </c>
      <c r="F105" s="3">
        <v>1063.6099999999999</v>
      </c>
      <c r="G105" s="4">
        <v>5</v>
      </c>
      <c r="H105" s="3">
        <v>125.12</v>
      </c>
      <c r="I105" s="4">
        <v>7</v>
      </c>
      <c r="J105" s="8">
        <v>30</v>
      </c>
      <c r="L105">
        <f>Table2[[#This Row],[จำนวน(ชิ้น)]]*Table2[[#This Row],[ราคาต่อหน่วย]]</f>
        <v>87216.01999999999</v>
      </c>
      <c r="M105" t="str">
        <f t="shared" si="1"/>
        <v>แปดหมื่นเจ็ดพันสองร้อยสิบหกบาทสองสตางค์</v>
      </c>
      <c r="N105" t="str">
        <f>IF(Table2[จำนวน(ชิ้น)] &lt;= 100,"สั่งซื้อ","ไม่ซื้อ")</f>
        <v>สั่งซื้อ</v>
      </c>
    </row>
    <row r="106" spans="1:14">
      <c r="A106" s="7">
        <v>45970</v>
      </c>
      <c r="B106" s="1" t="s">
        <v>20</v>
      </c>
      <c r="C106" s="1" t="s">
        <v>30</v>
      </c>
      <c r="D106" s="1" t="s">
        <v>23</v>
      </c>
      <c r="E106" s="2">
        <v>193</v>
      </c>
      <c r="F106" s="3">
        <v>516.37</v>
      </c>
      <c r="G106" s="4">
        <v>5</v>
      </c>
      <c r="H106" s="3">
        <v>6.47</v>
      </c>
      <c r="I106" s="4">
        <v>0</v>
      </c>
      <c r="J106" s="8">
        <v>60</v>
      </c>
      <c r="L106">
        <f>Table2[[#This Row],[จำนวน(ชิ้น)]]*Table2[[#This Row],[ราคาต่อหน่วย]]</f>
        <v>99659.41</v>
      </c>
      <c r="M106" t="str">
        <f t="shared" si="1"/>
        <v>เก้าหมื่นเก้าพันหกร้อยห้าสิบเก้าบาทสี่สิบเอ็ดสตางค์</v>
      </c>
      <c r="N106" t="str">
        <f>IF(Table2[จำนวน(ชิ้น)] &lt;= 100,"สั่งซื้อ","ไม่ซื้อ")</f>
        <v>ไม่ซื้อ</v>
      </c>
    </row>
    <row r="107" spans="1:14">
      <c r="A107" s="7">
        <v>45973</v>
      </c>
      <c r="B107" s="1" t="s">
        <v>28</v>
      </c>
      <c r="C107" s="1" t="s">
        <v>30</v>
      </c>
      <c r="D107" s="1" t="s">
        <v>21</v>
      </c>
      <c r="E107" s="2">
        <v>177</v>
      </c>
      <c r="F107" s="3">
        <v>1240.06</v>
      </c>
      <c r="G107" s="4">
        <v>10</v>
      </c>
      <c r="H107" s="3">
        <v>10.06</v>
      </c>
      <c r="I107" s="4">
        <v>0</v>
      </c>
      <c r="J107" s="8">
        <v>30</v>
      </c>
      <c r="L107">
        <f>Table2[[#This Row],[จำนวน(ชิ้น)]]*Table2[[#This Row],[ราคาต่อหน่วย]]</f>
        <v>219490.62</v>
      </c>
      <c r="M107" t="str">
        <f t="shared" si="1"/>
        <v>สองแสนหนึ่งหมื่นเก้าพันสี่ร้อยเก้าสิบบาทหกสิบสองสตางค์</v>
      </c>
      <c r="N107" t="str">
        <f>IF(Table2[จำนวน(ชิ้น)] &lt;= 100,"สั่งซื้อ","ไม่ซื้อ")</f>
        <v>ไม่ซื้อ</v>
      </c>
    </row>
    <row r="108" spans="1:14">
      <c r="A108" s="7">
        <v>45976</v>
      </c>
      <c r="B108" s="1" t="s">
        <v>28</v>
      </c>
      <c r="C108" s="1" t="s">
        <v>27</v>
      </c>
      <c r="D108" s="1" t="s">
        <v>19</v>
      </c>
      <c r="E108" s="2">
        <v>51</v>
      </c>
      <c r="F108" s="3">
        <v>1494.57</v>
      </c>
      <c r="G108" s="4">
        <v>7.5</v>
      </c>
      <c r="H108" s="3">
        <v>158.69999999999999</v>
      </c>
      <c r="I108" s="4">
        <v>7</v>
      </c>
      <c r="J108" s="8">
        <v>0</v>
      </c>
      <c r="L108">
        <f>Table2[[#This Row],[จำนวน(ชิ้น)]]*Table2[[#This Row],[ราคาต่อหน่วย]]</f>
        <v>76223.069999999992</v>
      </c>
      <c r="M108" t="str">
        <f t="shared" si="1"/>
        <v>เจ็ดหมื่นหกพันสองร้อยยี่สิบสามบาทเจ็ดสตางค์</v>
      </c>
      <c r="N108" t="str">
        <f>IF(Table2[จำนวน(ชิ้น)] &lt;= 100,"สั่งซื้อ","ไม่ซื้อ")</f>
        <v>สั่งซื้อ</v>
      </c>
    </row>
    <row r="109" spans="1:14">
      <c r="A109" s="7">
        <v>45979</v>
      </c>
      <c r="B109" s="1" t="s">
        <v>17</v>
      </c>
      <c r="C109" s="1" t="s">
        <v>18</v>
      </c>
      <c r="D109" s="1" t="s">
        <v>23</v>
      </c>
      <c r="E109" s="2">
        <v>90</v>
      </c>
      <c r="F109" s="3">
        <v>514.53</v>
      </c>
      <c r="G109" s="4">
        <v>0</v>
      </c>
      <c r="H109" s="3">
        <v>214.43</v>
      </c>
      <c r="I109" s="4">
        <v>7</v>
      </c>
      <c r="J109" s="8">
        <v>30</v>
      </c>
      <c r="L109">
        <f>Table2[[#This Row],[จำนวน(ชิ้น)]]*Table2[[#This Row],[ราคาต่อหน่วย]]</f>
        <v>46307.7</v>
      </c>
      <c r="M109" t="str">
        <f t="shared" si="1"/>
        <v>สี่หมื่นหกพันสามร้อยเจ็ดบาทเจ็ดสิบสตางค์</v>
      </c>
      <c r="N109" t="str">
        <f>IF(Table2[จำนวน(ชิ้น)] &lt;= 100,"สั่งซื้อ","ไม่ซื้อ")</f>
        <v>สั่งซื้อ</v>
      </c>
    </row>
    <row r="110" spans="1:14">
      <c r="A110" s="7">
        <v>45982</v>
      </c>
      <c r="B110" s="1" t="s">
        <v>10</v>
      </c>
      <c r="C110" s="1" t="s">
        <v>27</v>
      </c>
      <c r="D110" s="1" t="s">
        <v>19</v>
      </c>
      <c r="E110" s="2">
        <v>174</v>
      </c>
      <c r="F110" s="3">
        <v>1419.53</v>
      </c>
      <c r="G110" s="4">
        <v>15</v>
      </c>
      <c r="H110" s="3">
        <v>190.12</v>
      </c>
      <c r="I110" s="4">
        <v>0</v>
      </c>
      <c r="J110" s="8">
        <v>30</v>
      </c>
      <c r="L110">
        <f>Table2[[#This Row],[จำนวน(ชิ้น)]]*Table2[[#This Row],[ราคาต่อหน่วย]]</f>
        <v>246998.22</v>
      </c>
      <c r="M110" t="str">
        <f t="shared" si="1"/>
        <v>สองแสนสี่หมื่นหกพันเก้าร้อยเก้าสิบแปดบาทยี่สิบสองสตางค์</v>
      </c>
      <c r="N110" t="str">
        <f>IF(Table2[จำนวน(ชิ้น)] &lt;= 100,"สั่งซื้อ","ไม่ซื้อ")</f>
        <v>ไม่ซื้อ</v>
      </c>
    </row>
    <row r="111" spans="1:14">
      <c r="A111" s="7">
        <v>45985</v>
      </c>
      <c r="B111" s="1" t="s">
        <v>20</v>
      </c>
      <c r="C111" s="1" t="s">
        <v>18</v>
      </c>
      <c r="D111" s="1" t="s">
        <v>19</v>
      </c>
      <c r="E111" s="2">
        <v>87</v>
      </c>
      <c r="F111" s="3">
        <v>217.09</v>
      </c>
      <c r="G111" s="4">
        <v>15</v>
      </c>
      <c r="H111" s="3">
        <v>101.04</v>
      </c>
      <c r="I111" s="4">
        <v>0</v>
      </c>
      <c r="J111" s="8">
        <v>60</v>
      </c>
      <c r="L111">
        <f>Table2[[#This Row],[จำนวน(ชิ้น)]]*Table2[[#This Row],[ราคาต่อหน่วย]]</f>
        <v>18886.830000000002</v>
      </c>
      <c r="M111" t="str">
        <f t="shared" si="1"/>
        <v>หนึ่งหมื่นแปดพันแปดร้อยแปดสิบหกบาทแปดสิบสามสตางค์</v>
      </c>
      <c r="N111" t="str">
        <f>IF(Table2[จำนวน(ชิ้น)] &lt;= 100,"สั่งซื้อ","ไม่ซื้อ")</f>
        <v>สั่งซื้อ</v>
      </c>
    </row>
    <row r="112" spans="1:14">
      <c r="A112" s="7">
        <v>45988</v>
      </c>
      <c r="B112" s="1" t="s">
        <v>28</v>
      </c>
      <c r="C112" s="1" t="s">
        <v>27</v>
      </c>
      <c r="D112" s="1" t="s">
        <v>23</v>
      </c>
      <c r="E112" s="2">
        <v>18</v>
      </c>
      <c r="F112" s="3">
        <v>320.99</v>
      </c>
      <c r="G112" s="4">
        <v>5</v>
      </c>
      <c r="H112" s="3">
        <v>155.66</v>
      </c>
      <c r="I112" s="4">
        <v>7</v>
      </c>
      <c r="J112" s="8">
        <v>60</v>
      </c>
      <c r="L112">
        <f>Table2[[#This Row],[จำนวน(ชิ้น)]]*Table2[[#This Row],[ราคาต่อหน่วย]]</f>
        <v>5777.82</v>
      </c>
      <c r="M112" t="str">
        <f t="shared" si="1"/>
        <v>ห้าพันเจ็ดร้อยเจ็ดสิบเจ็ดบาทแปดสิบสองสตางค์</v>
      </c>
      <c r="N112" t="str">
        <f>IF(Table2[จำนวน(ชิ้น)] &lt;= 100,"สั่งซื้อ","ไม่ซื้อ")</f>
        <v>สั่งซื้อ</v>
      </c>
    </row>
    <row r="113" spans="1:14">
      <c r="A113" s="7">
        <v>45991</v>
      </c>
      <c r="B113" s="1" t="s">
        <v>17</v>
      </c>
      <c r="C113" s="1" t="s">
        <v>30</v>
      </c>
      <c r="D113" s="1" t="s">
        <v>16</v>
      </c>
      <c r="E113" s="2">
        <v>73</v>
      </c>
      <c r="F113" s="3">
        <v>845.37</v>
      </c>
      <c r="G113" s="4">
        <v>5</v>
      </c>
      <c r="H113" s="3">
        <v>109.53</v>
      </c>
      <c r="I113" s="4">
        <v>7</v>
      </c>
      <c r="J113" s="8">
        <v>0</v>
      </c>
      <c r="L113">
        <f>Table2[[#This Row],[จำนวน(ชิ้น)]]*Table2[[#This Row],[ราคาต่อหน่วย]]</f>
        <v>61712.01</v>
      </c>
      <c r="M113" t="str">
        <f t="shared" si="1"/>
        <v>หกหมื่นหนึ่งพันเจ็ดร้อยสิบสองบาทหนึ่งสตางค์</v>
      </c>
      <c r="N113" t="str">
        <f>IF(Table2[จำนวน(ชิ้น)] &lt;= 100,"สั่งซื้อ","ไม่ซื้อ")</f>
        <v>สั่งซื้อ</v>
      </c>
    </row>
    <row r="114" spans="1:14">
      <c r="A114" s="7">
        <v>45994</v>
      </c>
      <c r="B114" s="1" t="s">
        <v>20</v>
      </c>
      <c r="C114" s="1" t="s">
        <v>25</v>
      </c>
      <c r="D114" s="1" t="s">
        <v>26</v>
      </c>
      <c r="E114" s="2">
        <v>45</v>
      </c>
      <c r="F114" s="3">
        <v>499.59</v>
      </c>
      <c r="G114" s="4">
        <v>0</v>
      </c>
      <c r="H114" s="3">
        <v>138.06</v>
      </c>
      <c r="I114" s="4">
        <v>0</v>
      </c>
      <c r="J114" s="8">
        <v>7</v>
      </c>
      <c r="L114">
        <f>Table2[[#This Row],[จำนวน(ชิ้น)]]*Table2[[#This Row],[ราคาต่อหน่วย]]</f>
        <v>22481.55</v>
      </c>
      <c r="M114" t="str">
        <f t="shared" si="1"/>
        <v>สองหมื่นสองพันสี่ร้อยแปดสิบเอ็ดบาทห้าสิบห้าสตางค์</v>
      </c>
      <c r="N114" t="str">
        <f>IF(Table2[จำนวน(ชิ้น)] &lt;= 100,"สั่งซื้อ","ไม่ซื้อ")</f>
        <v>สั่งซื้อ</v>
      </c>
    </row>
    <row r="115" spans="1:14">
      <c r="A115" s="7">
        <v>45997</v>
      </c>
      <c r="B115" s="1" t="s">
        <v>20</v>
      </c>
      <c r="C115" s="1" t="s">
        <v>27</v>
      </c>
      <c r="D115" s="1" t="s">
        <v>12</v>
      </c>
      <c r="E115" s="2">
        <v>170</v>
      </c>
      <c r="F115" s="3">
        <v>1255.6099999999999</v>
      </c>
      <c r="G115" s="4">
        <v>7.5</v>
      </c>
      <c r="H115" s="3">
        <v>233.16</v>
      </c>
      <c r="I115" s="4">
        <v>7</v>
      </c>
      <c r="J115" s="8">
        <v>45</v>
      </c>
      <c r="L115">
        <f>Table2[[#This Row],[จำนวน(ชิ้น)]]*Table2[[#This Row],[ราคาต่อหน่วย]]</f>
        <v>213453.69999999998</v>
      </c>
      <c r="M115" t="str">
        <f t="shared" si="1"/>
        <v>สองแสนหนึ่งหมื่นสามพันสี่ร้อยห้าสิบสามบาทเจ็ดสิบสตางค์</v>
      </c>
      <c r="N115" t="str">
        <f>IF(Table2[จำนวน(ชิ้น)] &lt;= 100,"สั่งซื้อ","ไม่ซื้อ")</f>
        <v>ไม่ซื้อ</v>
      </c>
    </row>
    <row r="116" spans="1:14">
      <c r="A116" s="7">
        <v>46000</v>
      </c>
      <c r="B116" s="1" t="s">
        <v>10</v>
      </c>
      <c r="C116" s="1" t="s">
        <v>22</v>
      </c>
      <c r="D116" s="1" t="s">
        <v>23</v>
      </c>
      <c r="E116" s="2">
        <v>218</v>
      </c>
      <c r="F116" s="3">
        <v>748.62</v>
      </c>
      <c r="G116" s="4">
        <v>7.5</v>
      </c>
      <c r="H116" s="3">
        <v>60.93</v>
      </c>
      <c r="I116" s="4">
        <v>0</v>
      </c>
      <c r="J116" s="8">
        <v>30</v>
      </c>
      <c r="L116">
        <f>Table2[[#This Row],[จำนวน(ชิ้น)]]*Table2[[#This Row],[ราคาต่อหน่วย]]</f>
        <v>163199.16</v>
      </c>
      <c r="M116" t="str">
        <f t="shared" si="1"/>
        <v>หนึ่งแสนหกหมื่นสามพันหนึ่งร้อยเก้าสิบเก้าบาทสิบหกสตางค์</v>
      </c>
      <c r="N116" t="str">
        <f>IF(Table2[จำนวน(ชิ้น)] &lt;= 100,"สั่งซื้อ","ไม่ซื้อ")</f>
        <v>ไม่ซื้อ</v>
      </c>
    </row>
    <row r="117" spans="1:14">
      <c r="A117" s="7">
        <v>46003</v>
      </c>
      <c r="B117" s="1" t="s">
        <v>14</v>
      </c>
      <c r="C117" s="1" t="s">
        <v>29</v>
      </c>
      <c r="D117" s="1" t="s">
        <v>21</v>
      </c>
      <c r="E117" s="2">
        <v>22</v>
      </c>
      <c r="F117" s="3">
        <v>449.56</v>
      </c>
      <c r="G117" s="4">
        <v>15</v>
      </c>
      <c r="H117" s="3">
        <v>213.6</v>
      </c>
      <c r="I117" s="4">
        <v>7</v>
      </c>
      <c r="J117" s="8">
        <v>45</v>
      </c>
      <c r="L117">
        <f>Table2[[#This Row],[จำนวน(ชิ้น)]]*Table2[[#This Row],[ราคาต่อหน่วย]]</f>
        <v>9890.32</v>
      </c>
      <c r="M117" t="str">
        <f t="shared" si="1"/>
        <v>เก้าพันแปดร้อยเก้าสิบบาทสามสิบสองสตางค์</v>
      </c>
      <c r="N117" t="str">
        <f>IF(Table2[จำนวน(ชิ้น)] &lt;= 100,"สั่งซื้อ","ไม่ซื้อ")</f>
        <v>สั่งซื้อ</v>
      </c>
    </row>
    <row r="118" spans="1:14">
      <c r="A118" s="7">
        <v>46006</v>
      </c>
      <c r="B118" s="1" t="s">
        <v>24</v>
      </c>
      <c r="C118" s="1" t="s">
        <v>30</v>
      </c>
      <c r="D118" s="1" t="s">
        <v>19</v>
      </c>
      <c r="E118" s="2">
        <v>190</v>
      </c>
      <c r="F118" s="3">
        <v>481.91</v>
      </c>
      <c r="G118" s="4">
        <v>10</v>
      </c>
      <c r="H118" s="3">
        <v>144.97999999999999</v>
      </c>
      <c r="I118" s="4">
        <v>7</v>
      </c>
      <c r="J118" s="8">
        <v>7</v>
      </c>
      <c r="L118">
        <f>Table2[[#This Row],[จำนวน(ชิ้น)]]*Table2[[#This Row],[ราคาต่อหน่วย]]</f>
        <v>91562.900000000009</v>
      </c>
      <c r="M118" t="str">
        <f t="shared" si="1"/>
        <v>เก้าหมื่นหนึ่งพันห้าร้อยหกสิบสองบาทเก้าสิบสตางค์</v>
      </c>
      <c r="N118" t="str">
        <f>IF(Table2[จำนวน(ชิ้น)] &lt;= 100,"สั่งซื้อ","ไม่ซื้อ")</f>
        <v>ไม่ซื้อ</v>
      </c>
    </row>
    <row r="119" spans="1:14">
      <c r="A119" s="7">
        <v>46009</v>
      </c>
      <c r="B119" s="1" t="s">
        <v>17</v>
      </c>
      <c r="C119" s="1" t="s">
        <v>27</v>
      </c>
      <c r="D119" s="1" t="s">
        <v>19</v>
      </c>
      <c r="E119" s="2">
        <v>90</v>
      </c>
      <c r="F119" s="3">
        <v>849.28</v>
      </c>
      <c r="G119" s="4">
        <v>10</v>
      </c>
      <c r="H119" s="3">
        <v>94.3</v>
      </c>
      <c r="I119" s="4">
        <v>7</v>
      </c>
      <c r="J119" s="8">
        <v>7</v>
      </c>
      <c r="L119">
        <f>Table2[[#This Row],[จำนวน(ชิ้น)]]*Table2[[#This Row],[ราคาต่อหน่วย]]</f>
        <v>76435.199999999997</v>
      </c>
      <c r="M119" t="str">
        <f t="shared" si="1"/>
        <v>เจ็ดหมื่นหกพันสี่ร้อยสามสิบห้าบาทยี่สิบสตางค์</v>
      </c>
      <c r="N119" t="str">
        <f>IF(Table2[จำนวน(ชิ้น)] &lt;= 100,"สั่งซื้อ","ไม่ซื้อ")</f>
        <v>สั่งซื้อ</v>
      </c>
    </row>
    <row r="120" spans="1:14">
      <c r="A120" s="7">
        <v>46012</v>
      </c>
      <c r="B120" s="1" t="s">
        <v>10</v>
      </c>
      <c r="C120" s="1" t="s">
        <v>25</v>
      </c>
      <c r="D120" s="1" t="s">
        <v>13</v>
      </c>
      <c r="E120" s="2">
        <v>103</v>
      </c>
      <c r="F120" s="3">
        <v>387.67</v>
      </c>
      <c r="G120" s="4">
        <v>15</v>
      </c>
      <c r="H120" s="3">
        <v>102.69</v>
      </c>
      <c r="I120" s="4">
        <v>7</v>
      </c>
      <c r="J120" s="8">
        <v>60</v>
      </c>
      <c r="L120">
        <f>Table2[[#This Row],[จำนวน(ชิ้น)]]*Table2[[#This Row],[ราคาต่อหน่วย]]</f>
        <v>39930.01</v>
      </c>
      <c r="M120" t="str">
        <f t="shared" si="1"/>
        <v>สามหมื่นเก้าพันเก้าร้อยสามสิบบาทหนึ่งสตางค์</v>
      </c>
      <c r="N120" t="str">
        <f>IF(Table2[จำนวน(ชิ้น)] &lt;= 100,"สั่งซื้อ","ไม่ซื้อ")</f>
        <v>ไม่ซื้อ</v>
      </c>
    </row>
    <row r="121" spans="1:14">
      <c r="A121" s="9">
        <v>46015</v>
      </c>
      <c r="B121" s="10" t="s">
        <v>17</v>
      </c>
      <c r="C121" s="10" t="s">
        <v>15</v>
      </c>
      <c r="D121" s="10" t="s">
        <v>23</v>
      </c>
      <c r="E121" s="11">
        <v>174</v>
      </c>
      <c r="F121" s="12">
        <v>1197.97</v>
      </c>
      <c r="G121" s="13">
        <v>12.5</v>
      </c>
      <c r="H121" s="12">
        <v>245.2</v>
      </c>
      <c r="I121" s="13">
        <v>7</v>
      </c>
      <c r="J121" s="14">
        <v>0</v>
      </c>
    </row>
    <row r="122" spans="1:14">
      <c r="E122" t="s">
        <v>31</v>
      </c>
      <c r="F122">
        <f>MIN(F1:F121)</f>
        <v>53.71</v>
      </c>
      <c r="G122">
        <f>MIN(G1:G121)</f>
        <v>0</v>
      </c>
      <c r="H122">
        <f>MIN(H1:H121)</f>
        <v>0.89</v>
      </c>
      <c r="I122">
        <f>MIN(I1:I121)</f>
        <v>0</v>
      </c>
      <c r="J122">
        <f>MIN(J1:J121)</f>
        <v>0</v>
      </c>
    </row>
    <row r="123" spans="1:14">
      <c r="E123" t="s">
        <v>32</v>
      </c>
      <c r="F123" s="5">
        <f>MAX(F1:F121)</f>
        <v>1496.76</v>
      </c>
      <c r="G123" s="5">
        <f>MAX(G1:G121)</f>
        <v>15</v>
      </c>
      <c r="H123" s="5">
        <f>MAX(H1:H121)</f>
        <v>249.98</v>
      </c>
      <c r="I123" s="5">
        <f>MAX(I1:I121)</f>
        <v>7</v>
      </c>
      <c r="J123" s="5">
        <f>MAX(J1:J121)</f>
        <v>60</v>
      </c>
    </row>
    <row r="124" spans="1:14">
      <c r="E124" t="s">
        <v>33</v>
      </c>
      <c r="F124">
        <f>AVERAGE(F1:F121)</f>
        <v>772.13975000000005</v>
      </c>
      <c r="G124">
        <f>AVERAGE(G1:G121)</f>
        <v>8.0208333333333339</v>
      </c>
      <c r="H124">
        <f>AVERAGE(H1:H121)</f>
        <v>120.24691666666669</v>
      </c>
      <c r="I124">
        <f>AVERAGE(I1:I121)</f>
        <v>3.7333333333333334</v>
      </c>
      <c r="J124">
        <f>AVERAGE(J1:J121)</f>
        <v>26.9</v>
      </c>
    </row>
    <row r="125" spans="1:14">
      <c r="E125" t="s">
        <v>34</v>
      </c>
      <c r="F125" s="5">
        <f>SUM(F1:F121)</f>
        <v>92656.77</v>
      </c>
      <c r="G125" s="5">
        <f>SUM(G1:G121)</f>
        <v>962.5</v>
      </c>
      <c r="H125" s="5">
        <f>SUM(H1:H121)</f>
        <v>14429.630000000003</v>
      </c>
      <c r="I125" s="5">
        <f>SUM(I1:I121)</f>
        <v>448</v>
      </c>
      <c r="J125" s="5">
        <f>SUM(J1:J121)</f>
        <v>3228</v>
      </c>
    </row>
    <row r="128" spans="1:14">
      <c r="A128" s="18" t="s">
        <v>38</v>
      </c>
      <c r="B128" s="18"/>
      <c r="H128" s="19" t="s">
        <v>39</v>
      </c>
      <c r="I128" s="19"/>
    </row>
    <row r="129" spans="1:11">
      <c r="A129" s="20" t="s">
        <v>10</v>
      </c>
      <c r="B129" s="21">
        <f>SUMIF(Table2[ภูมิภาค],"ใต้",Table2[จำนวน(ชิ้น)])</f>
        <v>2987</v>
      </c>
      <c r="H129" s="20" t="s">
        <v>10</v>
      </c>
      <c r="I129" s="20">
        <f>COUNTIF(Table2[ภูมิภาค],H129)</f>
        <v>23</v>
      </c>
    </row>
    <row r="130" spans="1:11">
      <c r="A130" s="20" t="s">
        <v>14</v>
      </c>
      <c r="B130" s="21">
        <f>SUMIF(Table2[ภูมิภาค],"อีสาน",Table2[จำนวน(ชิ้น)])</f>
        <v>2628</v>
      </c>
      <c r="H130" s="20" t="s">
        <v>14</v>
      </c>
      <c r="I130" s="20">
        <f>COUNTIF(Table2[ภูมิภาค],H130)</f>
        <v>19</v>
      </c>
      <c r="K130" s="25"/>
    </row>
    <row r="131" spans="1:11">
      <c r="A131" s="20" t="s">
        <v>17</v>
      </c>
      <c r="B131" s="21">
        <f>SUMIF(Table2[ภูมิภาค],"ตะวันออก",Table2[จำนวน(ชิ้น)])</f>
        <v>2068</v>
      </c>
      <c r="H131" s="20" t="s">
        <v>17</v>
      </c>
      <c r="I131" s="20">
        <f>COUNTIF(Table2[ภูมิภาค],H131)</f>
        <v>20</v>
      </c>
      <c r="K131" s="25"/>
    </row>
    <row r="132" spans="1:11">
      <c r="A132" s="20" t="s">
        <v>24</v>
      </c>
      <c r="B132" s="21">
        <f>SUMIF(Table2[ภูมิภาค],"กลาง",Table2[จำนวน(ชิ้น)])</f>
        <v>2210</v>
      </c>
      <c r="H132" s="20" t="s">
        <v>24</v>
      </c>
      <c r="I132" s="20">
        <f>COUNTIF(Table2[ภูมิภาค],H132)</f>
        <v>16</v>
      </c>
      <c r="K132" s="25"/>
    </row>
    <row r="133" spans="1:11">
      <c r="A133" s="20" t="s">
        <v>20</v>
      </c>
      <c r="B133" s="21">
        <f>SUMIF(Table2[ภูมิภาค],"เหนือ",Table2[จำนวน(ชิ้น)])</f>
        <v>3279</v>
      </c>
      <c r="H133" s="20" t="s">
        <v>20</v>
      </c>
      <c r="I133" s="20">
        <f>COUNTIF(Table2[ภูมิภาค],H133)</f>
        <v>24</v>
      </c>
      <c r="K133" s="25"/>
    </row>
    <row r="134" spans="1:11">
      <c r="A134" s="20" t="s">
        <v>28</v>
      </c>
      <c r="B134" s="21">
        <f>SUMIF(Table2[ภูมิภาค],"ตะวันตก",Table2[จำนวน(ชิ้น)])</f>
        <v>2407</v>
      </c>
      <c r="H134" s="20" t="s">
        <v>28</v>
      </c>
      <c r="I134" s="20">
        <f>COUNTIF(Table2[ภูมิภาค],H134)</f>
        <v>18</v>
      </c>
      <c r="K134" s="25"/>
    </row>
    <row r="135" spans="1:11">
      <c r="A135" s="22"/>
      <c r="B135" s="23">
        <f>B129+B130+B131+B132+B133+B134</f>
        <v>15579</v>
      </c>
      <c r="H135" s="24"/>
      <c r="I135" s="24">
        <f>I129+I130+I131+I132+I133+I134</f>
        <v>120</v>
      </c>
    </row>
    <row r="145" spans="1:2">
      <c r="A145" s="20" t="s">
        <v>10</v>
      </c>
      <c r="B145" s="20">
        <f>COUNTIFS(Table2[พนักงานขาย], "A02", Table2[ภูมิภาค], "ใต้")</f>
        <v>5</v>
      </c>
    </row>
    <row r="147" spans="1:2">
      <c r="A147" s="20" t="s">
        <v>10</v>
      </c>
      <c r="B147" s="5">
        <f ca="1">SUMIF(Table2[ภูมิภาค],A147,B129:B134)</f>
        <v>5615</v>
      </c>
    </row>
    <row r="148" spans="1:2">
      <c r="A148" s="20" t="s">
        <v>14</v>
      </c>
      <c r="B148" s="5">
        <f ca="1">SUMIF(Table2[ภูมิภาค],A148,B130:B135)</f>
        <v>5615</v>
      </c>
    </row>
    <row r="149" spans="1:2">
      <c r="A149" s="20" t="s">
        <v>17</v>
      </c>
      <c r="B149" s="5">
        <f ca="1">SUMIF(Table2[ภูมิภาค],A149,B131:B136)</f>
        <v>2412</v>
      </c>
    </row>
    <row r="150" spans="1:2">
      <c r="A150" s="20" t="s">
        <v>24</v>
      </c>
      <c r="B150" s="5">
        <f ca="1">SUMIF(Table2[ภูมิภาค],A150,B132:B137)</f>
        <v>5615</v>
      </c>
    </row>
    <row r="151" spans="1:2">
      <c r="A151" s="20" t="s">
        <v>20</v>
      </c>
      <c r="B151" s="5">
        <f ca="1">SUMIF(Table2[ภูมิภาค],A151,B133:B138)</f>
        <v>5615</v>
      </c>
    </row>
    <row r="152" spans="1:2">
      <c r="A152" s="20" t="s">
        <v>28</v>
      </c>
      <c r="B152" s="5">
        <f ca="1">SUMIF(Table2[ภูมิภาค],A152,B134:B139)</f>
        <v>5615</v>
      </c>
    </row>
  </sheetData>
  <mergeCells count="2">
    <mergeCell ref="A128:B128"/>
    <mergeCell ref="H128:I128"/>
  </mergeCells>
  <conditionalFormatting sqref="F1:F12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{FD20B8E8-6B1B-4BEB-AF67-33D34FF5F066}</x14:id>
        </ext>
      </extLst>
    </cfRule>
  </conditionalFormatting>
  <conditionalFormatting sqref="E1:E121">
    <cfRule type="cellIs" dxfId="0" priority="1" operator="lessThan">
      <formula>100</formula>
    </cfRule>
  </conditionalFormatting>
  <pageMargins left="0.75" right="0.75" top="1" bottom="1" header="0.5" footer="0.5"/>
  <pageSetup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20B8E8-6B1B-4BEB-AF67-33D34FF5F0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546E-9EC6-4E88-9230-842C7925E6F0}"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a720d9-b081-4299-a4d5-cdbb95fe7f87">
      <Terms xmlns="http://schemas.microsoft.com/office/infopath/2007/PartnerControls"/>
    </lcf76f155ced4ddcb4097134ff3c332f>
    <TaxCatchAll xmlns="ffe8426d-d54d-4604-a08f-c7560f8f9ec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D92FD5FCAAA4734B80FCD8B7DEE866A7" ma:contentTypeVersion="10" ma:contentTypeDescription="สร้างเอกสารใหม่" ma:contentTypeScope="" ma:versionID="4026ed2cb60cc2abd9f507120195ac14">
  <xsd:schema xmlns:xsd="http://www.w3.org/2001/XMLSchema" xmlns:xs="http://www.w3.org/2001/XMLSchema" xmlns:p="http://schemas.microsoft.com/office/2006/metadata/properties" xmlns:ns2="97a720d9-b081-4299-a4d5-cdbb95fe7f87" xmlns:ns3="ffe8426d-d54d-4604-a08f-c7560f8f9ec2" targetNamespace="http://schemas.microsoft.com/office/2006/metadata/properties" ma:root="true" ma:fieldsID="8d79d3c25c16ac6abe39cb6b411c4a9e" ns2:_="" ns3:_="">
    <xsd:import namespace="97a720d9-b081-4299-a4d5-cdbb95fe7f87"/>
    <xsd:import namespace="ffe8426d-d54d-4604-a08f-c7560f8f9e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720d9-b081-4299-a4d5-cdbb95fe7f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009478da-a0c4-4ae2-9e8b-8b92e72f8b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8426d-d54d-4604-a08f-c7560f8f9e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88d6df-ae56-4e5a-8446-b26d44337039}" ma:internalName="TaxCatchAll" ma:showField="CatchAllData" ma:web="ffe8426d-d54d-4604-a08f-c7560f8f9e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615BB-7D17-4C6C-9821-001A214D91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DF45F0-8726-4FDA-B5ED-C84F13E8E57F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97a720d9-b081-4299-a4d5-cdbb95fe7f87"/>
    <ds:schemaRef ds:uri="http://purl.org/dc/terms/"/>
    <ds:schemaRef ds:uri="http://purl.org/dc/elements/1.1/"/>
    <ds:schemaRef ds:uri="http://schemas.microsoft.com/office/infopath/2007/PartnerControls"/>
    <ds:schemaRef ds:uri="ffe8426d-d54d-4604-a08f-c7560f8f9ec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7BE2EFD-AC5D-473B-8656-74C5B2FA2C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720d9-b081-4299-a4d5-cdbb95fe7f87"/>
    <ds:schemaRef ds:uri="ffe8426d-d54d-4604-a08f-c7560f8f9e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NuWaN .m</dc:creator>
  <cp:keywords/>
  <dc:description/>
  <cp:lastModifiedBy>Admin</cp:lastModifiedBy>
  <cp:revision/>
  <dcterms:created xsi:type="dcterms:W3CDTF">2025-12-18T22:49:45Z</dcterms:created>
  <dcterms:modified xsi:type="dcterms:W3CDTF">2025-12-19T08:33:44Z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0x010100D92FD5FCAAA4734B80FCD8B7DEE866A7</vt:lpwstr>
  </property>
  <property fmtid="{D5CDD505-2E9C-101B-9397-08002B2CF9AE}" pid="3" name="MediaServiceImageTags">
    <vt:lpwstr/>
  </property>
</Properties>
</file>